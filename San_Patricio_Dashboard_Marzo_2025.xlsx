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gía y Diseño" sheetId="1" state="visible" r:id="rId1"/>
    <sheet name="Reconciliación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222222"/>
    </font>
    <font>
      <b val="1"/>
      <color rgb="000F2D52"/>
    </font>
    <font>
      <b val="1"/>
      <color rgb="0022222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2D52"/>
      </patternFill>
    </fill>
    <fill>
      <patternFill patternType="solid">
        <fgColor rgb="00EAF3FA"/>
      </patternFill>
    </fill>
    <fill>
      <patternFill patternType="solid">
        <fgColor rgb="00F3F6FA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0D7E2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top" wrapText="1"/>
    </xf>
    <xf numFmtId="164" fontId="2" fillId="0" borderId="2" applyAlignment="1" pivotButton="0" quotePrefix="0" xfId="0">
      <alignment horizontal="right" vertical="top"/>
    </xf>
    <xf numFmtId="3" fontId="2" fillId="0" borderId="2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 wrapText="1"/>
    </xf>
    <xf numFmtId="165" fontId="2" fillId="0" borderId="2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KPIs Financieros: Mensual vs YTD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'Dashboard'!K2</f>
            </strRef>
          </tx>
          <spPr>
            <a:ln>
              <a:prstDash val="solid"/>
            </a:ln>
          </spPr>
          <cat>
            <numRef>
              <f>'Dashboard'!$J$3:$J$6</f>
            </numRef>
          </cat>
          <val>
            <numRef>
              <f>'Dashboard'!$K$3:$K$6</f>
            </numRef>
          </val>
        </ser>
        <ser>
          <idx val="1"/>
          <order val="1"/>
          <tx>
            <strRef>
              <f>'Dashboard'!L2</f>
            </strRef>
          </tx>
          <spPr>
            <a:ln>
              <a:prstDash val="solid"/>
            </a:ln>
          </spPr>
          <cat>
            <numRef>
              <f>'Dashboard'!$J$3:$J$6</f>
            </numRef>
          </cat>
          <val>
            <numRef>
              <f>'Dashboard'!$L$3:$L$6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Indicador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MXN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Cartera Vencida por Bucket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'Dashboard'!$J$11:$J$14</f>
            </numRef>
          </cat>
          <val>
            <numRef>
              <f>'Dashboard'!$K$11:$K$14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18</row>
      <rowOff>0</rowOff>
    </from>
    <ext cx="37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Metodología y Diseño</t>
        </is>
      </c>
      <c r="B1" s="2" t="n"/>
      <c r="C1" s="2" t="n"/>
      <c r="D1" s="2" t="n"/>
      <c r="E1" s="2" t="n"/>
      <c r="F1" s="2" t="n"/>
      <c r="G1" s="2" t="n"/>
      <c r="H1" s="2" t="n"/>
    </row>
    <row r="2"/>
    <row r="3" ht="78" customHeight="1">
      <c r="A3" s="3" t="inlineStr">
        <is>
          <t>Diseño del Dashboard: Se optó por una arquitectura ETL en Python. En lugar de un workbook de Excel con fórmulas manuales propensas a errores, este documento es el output automatizado de un script. Para reutilizarlo en el cierre de abril, simplemente se procesa el nuevo archivo fuente en el pipeline, garantizando integridad de datos y escalabilidad para todo el portafolio de colegios.</t>
        </is>
      </c>
    </row>
    <row r="4"/>
    <row r="5"/>
    <row r="6"/>
    <row r="7"/>
    <row r="8">
      <c r="A8" s="4" t="inlineStr">
        <is>
          <t>Arquitectura</t>
        </is>
      </c>
    </row>
    <row r="9">
      <c r="A9" s="5" t="inlineStr">
        <is>
          <t>1. Extracción de CSVs desde el workbook fuente.</t>
        </is>
      </c>
    </row>
    <row r="10">
      <c r="A10" s="5" t="inlineStr">
        <is>
          <t>2. Cálculo vectorizado de KPIs financieros y operativos.</t>
        </is>
      </c>
    </row>
    <row r="11">
      <c r="A11" s="5" t="inlineStr">
        <is>
          <t>3. Publicación de un dashboard ejecutivo en Excel.</t>
        </is>
      </c>
    </row>
  </sheetData>
  <mergeCells count="2">
    <mergeCell ref="A3:H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Reconciliación</t>
        </is>
      </c>
      <c r="B1" s="2" t="n"/>
      <c r="C1" s="2" t="n"/>
      <c r="D1" s="2" t="n"/>
    </row>
    <row r="2"/>
    <row r="3" ht="20" customHeight="1">
      <c r="A3" s="6" t="inlineStr">
        <is>
          <t>BANK RECONCILIATION:</t>
        </is>
      </c>
    </row>
    <row r="4" ht="20" customHeight="1">
      <c r="A4" s="7" t="inlineStr">
        <is>
          <t xml:space="preserve">  Balanza reported saldo final: 5515000</t>
        </is>
      </c>
    </row>
    <row r="5" ht="20" customHeight="1">
      <c r="A5" s="7" t="inlineStr">
        <is>
          <t xml:space="preserve">  Bank statement saldo final: 5894500</t>
        </is>
      </c>
    </row>
    <row r="6" ht="20" customHeight="1">
      <c r="A6" s="7" t="inlineStr">
        <is>
          <t xml:space="preserve">  Balanza cargos (entradas): 6180000</t>
        </is>
      </c>
    </row>
    <row r="7" ht="20" customHeight="1">
      <c r="A7" s="7" t="inlineStr">
        <is>
          <t xml:space="preserve">  Bank deposits: 10282000.0</t>
        </is>
      </c>
    </row>
    <row r="8" ht="20" customHeight="1">
      <c r="A8" s="7" t="inlineStr">
        <is>
          <t xml:space="preserve">  Balanza abonos (salidas): 5945000</t>
        </is>
      </c>
    </row>
    <row r="9" ht="20" customHeight="1">
      <c r="A9" s="7" t="inlineStr">
        <is>
          <t xml:space="preserve">  Bank withdrawals: 9053000.0</t>
        </is>
      </c>
    </row>
    <row r="10" ht="20" customHeight="1">
      <c r="A10" s="7" t="inlineStr">
        <is>
          <t xml:space="preserve">  Difference (bank - balanza): 379500</t>
        </is>
      </c>
    </row>
    <row r="11" ht="20" customHeight="1">
      <c r="A11" s="7" t="inlineStr"/>
    </row>
    <row r="12" ht="20" customHeight="1">
      <c r="A12" s="6" t="inlineStr">
        <is>
          <t>SECONDARY INCOME CHECK:</t>
        </is>
      </c>
    </row>
    <row r="13" ht="20" customHeight="1">
      <c r="A13" s="7" t="inlineStr">
        <is>
          <t xml:space="preserve">  Operative facturado del mes: 1610000</t>
        </is>
      </c>
    </row>
    <row r="14" ht="20" customHeight="1">
      <c r="A14" s="7" t="inlineStr">
        <is>
          <t xml:space="preserve">  Operative cobrado del mes: 1478000</t>
        </is>
      </c>
    </row>
    <row r="15" ht="20" customHeight="1">
      <c r="A15" s="7" t="inlineStr">
        <is>
          <t xml:space="preserve">  Accounting abono in Balanza Marzo: 1565000</t>
        </is>
      </c>
    </row>
    <row r="16" ht="20" customHeight="1">
      <c r="A16" s="7" t="inlineStr">
        <is>
          <t xml:space="preserve">  Difference (facturado - abono): 45000</t>
        </is>
      </c>
    </row>
    <row r="17" ht="20" customHeight="1">
      <c r="A17" s="7" t="inlineStr"/>
    </row>
    <row r="18" ht="20" customHeight="1">
      <c r="A18" s="6" t="inlineStr">
        <is>
          <t>CLIENTS (CARTERA) CHECK:</t>
        </is>
      </c>
    </row>
    <row r="19" ht="20" customHeight="1">
      <c r="A19" s="7" t="inlineStr">
        <is>
          <t xml:space="preserve">  Balanza Marzo client saldo final: 1490000</t>
        </is>
      </c>
    </row>
    <row r="20" ht="20" customHeight="1">
      <c r="A20" s="7" t="inlineStr">
        <is>
          <t xml:space="preserve">  Operativo Marzo antiguedad TOTAL saldo marzo: 1630000</t>
        </is>
      </c>
    </row>
    <row r="21" ht="20" customHeight="1">
      <c r="A21" s="7" t="inlineStr">
        <is>
          <t xml:space="preserve">  Difference (operativo - balanza): 140000</t>
        </is>
      </c>
    </row>
    <row r="22" ht="20" customHeight="1">
      <c r="A22" s="7" t="inlineStr"/>
    </row>
    <row r="23" ht="20" customHeight="1">
      <c r="A23" s="6" t="inlineStr">
        <is>
          <t>MONTH-OVER-MONTH BALANCE CHECK:</t>
        </is>
      </c>
    </row>
    <row r="24" ht="20" customHeight="1">
      <c r="A24" s="7" t="inlineStr">
        <is>
          <t xml:space="preserve">  No new balances detected.</t>
        </is>
      </c>
    </row>
    <row r="25" ht="20" customHeight="1">
      <c r="A25" s="7" t="inlineStr">
        <is>
          <t xml:space="preserve">  No disappeared balances detected.</t>
        </is>
      </c>
    </row>
    <row r="26" ht="20" customHeight="1">
      <c r="A26" s="8" t="inlineStr">
        <is>
          <t xml:space="preserve">  Variaciones atípicas:</t>
        </is>
      </c>
    </row>
    <row r="27" ht="20" customHeight="1">
      <c r="A27" s="7" t="inlineStr">
        <is>
          <t xml:space="preserve">  - Cuenta 5110-000 | Sueldos y salarios docentes | Febrero: 5,480,000 | Marzo: 8,230,000 | Variación: 2,750,000 | %: 50.18%</t>
        </is>
      </c>
    </row>
    <row r="28" ht="20" customHeight="1">
      <c r="A28" s="7" t="inlineStr">
        <is>
          <t xml:space="preserve">  - Cuenta 4100-002 | Colegiaturas primaria | Febrero: -5,130,000 | Marzo: -7,695,000 | Variación: -2,565,000 | %: 50.00%</t>
        </is>
      </c>
    </row>
    <row r="29" ht="20" customHeight="1">
      <c r="A29" s="7" t="inlineStr">
        <is>
          <t xml:space="preserve">  - Cuenta 4100-003 | Colegiaturas secundaria | Febrero: -3,220,000 | Marzo: -4,785,000 | Variación: -1,565,000 | %: 48.60%</t>
        </is>
      </c>
    </row>
    <row r="30" ht="20" customHeight="1">
      <c r="A30" s="7" t="inlineStr">
        <is>
          <t xml:space="preserve">  - Cuenta 4100-004 | Colegiaturas preparatoria | Febrero: -3,105,000 | Marzo: -4,657,500 | Variación: -1,552,500 | %: 50.00%</t>
        </is>
      </c>
    </row>
    <row r="31" ht="20" customHeight="1">
      <c r="A31" s="7" t="inlineStr">
        <is>
          <t xml:space="preserve">  - Cuenta 5210-000 | Sueldos y salarios administrativos | Febrero: 1,555,000 | Marzo: 2,335,000 | Variación: 780,000 | %: 50.16%</t>
        </is>
      </c>
    </row>
    <row r="32" ht="20" customHeight="1">
      <c r="A32" s="7" t="inlineStr">
        <is>
          <t xml:space="preserve">  - Cuenta 4100-001 | Colegiaturas preescolar | Febrero: -1,275,000 | Marzo: -1,912,500 | Variación: -637,500 | %: 50.00%</t>
        </is>
      </c>
    </row>
    <row r="33" ht="20" customHeight="1">
      <c r="A33" s="7" t="inlineStr">
        <is>
          <t xml:space="preserve">  - Cuenta 4300-000 | Otros ingresos (transporte, comedor, eventos) | Febrero: -685,000 | Marzo: -1,080,000 | Variación: -395,000 | %: 57.66%</t>
        </is>
      </c>
    </row>
    <row r="34" ht="20" customHeight="1">
      <c r="A34" s="7" t="inlineStr">
        <is>
          <t xml:space="preserve">  - Cuenta 5300-000 | Servicios (luz, agua, gas, internet) | Febrero: 562,000 | Marzo: 947,000 | Variación: 385,000 | %: 68.51%</t>
        </is>
      </c>
    </row>
    <row r="35" ht="20" customHeight="1">
      <c r="A35" s="7" t="inlineStr">
        <is>
          <t xml:space="preserve">  - Cuenta 5120-000 | Prestaciones docentes | Febrero: 565,000 | Marzo: 850,000 | Variación: 285,000 | %: 50.44%</t>
        </is>
      </c>
    </row>
    <row r="36" ht="20" customHeight="1">
      <c r="A36" s="7" t="inlineStr">
        <is>
          <t xml:space="preserve">  - Cuenta 5800-000 | Honorarios profesionales | Febrero: 415,000 | Marzo: 630,000 | Variación: 215,000 | %: 51.81%</t>
        </is>
      </c>
    </row>
    <row r="37" ht="20" customHeight="1">
      <c r="A37" s="7" t="inlineStr">
        <is>
          <t xml:space="preserve">  - Cuenta 5400-000 | Mantenimiento e instalaciones | Febrero: 348,000 | Marzo: 556,500 | Variación: 208,500 | %: 59.91%</t>
        </is>
      </c>
    </row>
    <row r="38" ht="20" customHeight="1">
      <c r="A38" s="7" t="inlineStr">
        <is>
          <t xml:space="preserve">  - Cuenta 5900-000 | Depreciación del ejercicio | Febrero: 360,000 | Marzo: 540,000 | Variación: 180,000 | %: 50.00%</t>
        </is>
      </c>
    </row>
    <row r="39" ht="20" customHeight="1">
      <c r="A39" s="7" t="inlineStr">
        <is>
          <t xml:space="preserve">  - Cuenta 5130-000 | IMSS/INFONAVIT docentes | Febrero: 340,000 | Marzo: 510,000 | Variación: 170,000 | %: 50.00%</t>
        </is>
      </c>
    </row>
    <row r="40" ht="20" customHeight="1">
      <c r="A40" s="7" t="inlineStr">
        <is>
          <t xml:space="preserve">  - Cuenta 5950-000 | Otros gastos | Febrero: 145,000 | Marzo: 248,500 | Variación: 103,500 | %: 71.38%</t>
        </is>
      </c>
    </row>
    <row r="41" ht="20" customHeight="1">
      <c r="A41" s="7" t="inlineStr">
        <is>
          <t xml:space="preserve">  - Cuenta 5500-000 | Material didáctico y consumibles | Febrero: 175,000 | Marzo: 273,000 | Variación: 98,000 | %: 56.00%</t>
        </is>
      </c>
    </row>
    <row r="42" ht="20" customHeight="1">
      <c r="A42" s="7" t="inlineStr">
        <is>
          <t xml:space="preserve">  - Cuenta 5230-000 | IMSS/INFONAVIT administrativos | Febrero: 180,000 | Marzo: 272,000 | Variación: 92,000 | %: 51.11%</t>
        </is>
      </c>
    </row>
    <row r="43" ht="20" customHeight="1">
      <c r="A43" s="7" t="inlineStr">
        <is>
          <t xml:space="preserve">  - Cuenta 5220-000 | Prestaciones administrativos | Febrero: 158,000 | Marzo: 240,000 | Variación: 82,000 | %: 51.90%</t>
        </is>
      </c>
    </row>
    <row r="44" ht="20" customHeight="1">
      <c r="A44" s="7" t="inlineStr">
        <is>
          <t xml:space="preserve">  - Cuenta 5700-000 | Gastos de viaje y representación | Febrero: 95,000 | Marzo: 173,000 | Variación: 78,000 | %: 82.11%</t>
        </is>
      </c>
    </row>
    <row r="45" ht="20" customHeight="1">
      <c r="A45" s="7" t="inlineStr">
        <is>
          <t xml:space="preserve">  - Cuenta 5600-000 | Marketing y publicidad | Febrero: 142,000 | Marzo: 217,000 | Variación: 75,000 | %: 52.82%</t>
        </is>
      </c>
    </row>
    <row r="46" ht="20" customHeight="1">
      <c r="A46" s="7" t="inlineStr">
        <is>
          <t xml:space="preserve">  - Cuenta 4400-000 | Recargos por mora | Febrero: -78,000 | Marzo: -120,000 | Variación: -42,000 | %: 53.85%</t>
        </is>
      </c>
    </row>
    <row r="47" ht="20" customHeight="1">
      <c r="A47" s="7" t="inlineStr"/>
    </row>
    <row r="48" ht="20" customHeight="1">
      <c r="A48" s="6" t="inlineStr">
        <is>
          <t>STUDENT-LEVEL FEE CHECK:</t>
        </is>
      </c>
    </row>
    <row r="49" ht="20" customHeight="1">
      <c r="A49" s="8" t="inlineStr">
        <is>
          <t xml:space="preserve">  Students with mismatched monthly fee:</t>
        </is>
      </c>
    </row>
    <row r="50" ht="20" customHeight="1">
      <c r="A50" s="7" t="inlineStr">
        <is>
          <t xml:space="preserve">   Folio Nombre del alumno         Grado  Mensualidad  Cuota esperada</t>
        </is>
      </c>
    </row>
    <row r="51" ht="20" customHeight="1">
      <c r="A51" s="7" t="inlineStr">
        <is>
          <t>ALU-1042 Luis Pérez García Preescolar 2°         9500            7500</t>
        </is>
      </c>
    </row>
    <row r="52" ht="20" customHeight="1"/>
    <row r="53" ht="20" customHeight="1"/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  <col width="4" customWidth="1" min="4" max="4"/>
    <col width="28" customWidth="1" min="5" max="5"/>
    <col width="20" customWidth="1" min="6" max="6"/>
    <col width="38" customWidth="1" min="7" max="7"/>
    <col width="4" customWidth="1" min="8" max="8"/>
    <col width="4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San Patricio Dashboard - Marzo 2025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J2" t="inlineStr">
        <is>
          <t>Indicador</t>
        </is>
      </c>
      <c r="K2" t="inlineStr">
        <is>
          <t>Mensual</t>
        </is>
      </c>
      <c r="L2" t="inlineStr">
        <is>
          <t>YTD</t>
        </is>
      </c>
    </row>
    <row r="3">
      <c r="A3" s="9" t="inlineStr">
        <is>
          <t>KPIs Financieros</t>
        </is>
      </c>
      <c r="B3" s="9" t="n"/>
      <c r="C3" s="9" t="n"/>
      <c r="E3" s="9" t="inlineStr">
        <is>
          <t>KPIs Operativos</t>
        </is>
      </c>
      <c r="F3" s="9" t="n"/>
      <c r="G3" s="9" t="n"/>
      <c r="J3" t="inlineStr">
        <is>
          <t>Revenue</t>
        </is>
      </c>
      <c r="K3" t="n">
        <v>6757000</v>
      </c>
      <c r="L3" t="n">
        <v>20250000</v>
      </c>
    </row>
    <row r="4" ht="22" customHeight="1">
      <c r="A4" s="9" t="inlineStr">
        <is>
          <t>Métrica</t>
        </is>
      </c>
      <c r="B4" s="9" t="inlineStr">
        <is>
          <t>Mensual</t>
        </is>
      </c>
      <c r="C4" s="9" t="inlineStr">
        <is>
          <t>YTD</t>
        </is>
      </c>
      <c r="E4" s="9" t="inlineStr">
        <is>
          <t>Métrica</t>
        </is>
      </c>
      <c r="F4" s="9" t="inlineStr">
        <is>
          <t>Valor</t>
        </is>
      </c>
      <c r="G4" s="9" t="inlineStr">
        <is>
          <t>Detalle</t>
        </is>
      </c>
      <c r="J4" t="inlineStr">
        <is>
          <t>EBITDA</t>
        </is>
      </c>
      <c r="K4" t="n">
        <v>1435000</v>
      </c>
      <c r="L4" t="n">
        <v>4768000</v>
      </c>
    </row>
    <row r="5" ht="22" customHeight="1">
      <c r="A5" s="10" t="inlineStr">
        <is>
          <t>Revenue</t>
        </is>
      </c>
      <c r="B5" s="11" t="n">
        <v>6757000</v>
      </c>
      <c r="C5" s="11" t="n">
        <v>20250000</v>
      </c>
      <c r="E5" s="10" t="inlineStr">
        <is>
          <t>Alumnos activos</t>
        </is>
      </c>
      <c r="F5" s="12" t="n">
        <v>610</v>
      </c>
      <c r="G5" s="13" t="inlineStr">
        <is>
          <t>TOTAL alumnos en la tabla de niveles</t>
        </is>
      </c>
      <c r="J5" t="inlineStr">
        <is>
          <t>Nómina</t>
        </is>
      </c>
      <c r="K5" t="n">
        <v>4159000</v>
      </c>
      <c r="L5" t="n">
        <v>12437000</v>
      </c>
    </row>
    <row r="6" ht="22" customHeight="1">
      <c r="A6" s="10" t="inlineStr">
        <is>
          <t>Gastos / Costos</t>
        </is>
      </c>
      <c r="B6" s="11" t="n">
        <v>5322000</v>
      </c>
      <c r="C6" s="11" t="n">
        <v>15482000</v>
      </c>
      <c r="E6" s="10" t="inlineStr">
        <is>
          <t>Cobranza / Facturación</t>
        </is>
      </c>
      <c r="F6" s="14" t="n">
        <v>0.9347996857816182</v>
      </c>
      <c r="G6" s="13" t="inlineStr">
        <is>
          <t>$5,950,000.00 / $6,365,000.00</t>
        </is>
      </c>
      <c r="J6" t="inlineStr">
        <is>
          <t>Gastos / Costos</t>
        </is>
      </c>
      <c r="K6" t="n">
        <v>5322000</v>
      </c>
      <c r="L6" t="n">
        <v>15482000</v>
      </c>
    </row>
    <row r="7" ht="22" customHeight="1">
      <c r="A7" s="10" t="inlineStr">
        <is>
          <t>Nómina</t>
        </is>
      </c>
      <c r="B7" s="11" t="n">
        <v>4159000</v>
      </c>
      <c r="C7" s="11" t="n">
        <v>12437000</v>
      </c>
      <c r="E7" s="10" t="inlineStr">
        <is>
          <t>Ticket promedio</t>
        </is>
      </c>
      <c r="F7" s="11" t="n">
        <v>10434.4262295082</v>
      </c>
      <c r="G7" s="13" t="inlineStr">
        <is>
          <t>Facturado / alumnos activos</t>
        </is>
      </c>
    </row>
    <row r="8" ht="22" customHeight="1">
      <c r="A8" s="10" t="inlineStr">
        <is>
          <t>EBITDA</t>
        </is>
      </c>
      <c r="B8" s="11" t="n">
        <v>1435000</v>
      </c>
      <c r="C8" s="11" t="n">
        <v>4768000</v>
      </c>
      <c r="E8" s="10" t="inlineStr">
        <is>
          <t>Cartera vencida</t>
        </is>
      </c>
      <c r="F8" s="11" t="n">
        <v>925000</v>
      </c>
      <c r="G8" s="13" t="inlineStr">
        <is>
          <t>Suma de buckets vencidos</t>
        </is>
      </c>
    </row>
    <row r="9" ht="22" customHeight="1">
      <c r="A9" s="10" t="inlineStr">
        <is>
          <t>Margen EBITDA</t>
        </is>
      </c>
      <c r="B9" s="14" t="n">
        <v>0.2123723545952346</v>
      </c>
      <c r="C9" s="14" t="n">
        <v>0.2354567901234568</v>
      </c>
      <c r="E9" s="10" t="inlineStr">
        <is>
          <t>Cartera vencida %</t>
        </is>
      </c>
      <c r="F9" s="14" t="n">
        <v>0.5674846625766872</v>
      </c>
      <c r="G9" s="13" t="inlineStr">
        <is>
          <t>Vencida / saldo total</t>
        </is>
      </c>
    </row>
    <row r="10" ht="22" customHeight="1">
      <c r="A10" s="10" t="inlineStr">
        <is>
          <t>Nómina % Revenue</t>
        </is>
      </c>
      <c r="B10" s="14" t="n">
        <v>0.6155098416457008</v>
      </c>
      <c r="C10" s="14" t="n">
        <v>0.6141728395061729</v>
      </c>
      <c r="J10" t="inlineStr">
        <is>
          <t>Bucket</t>
        </is>
      </c>
      <c r="K10" t="inlineStr">
        <is>
          <t>Saldo</t>
        </is>
      </c>
    </row>
    <row r="11" ht="22" customHeight="1">
      <c r="J11" t="inlineStr">
        <is>
          <t>1 a 30 días</t>
        </is>
      </c>
      <c r="K11" t="n">
        <v>268000</v>
      </c>
    </row>
    <row r="12" ht="22" customHeight="1">
      <c r="J12" t="inlineStr">
        <is>
          <t>31 a 60 días</t>
        </is>
      </c>
      <c r="K12" t="n">
        <v>192000</v>
      </c>
    </row>
    <row r="13" ht="22" customHeight="1">
      <c r="A13" s="9" t="inlineStr">
        <is>
          <t>Cartera Vencida</t>
        </is>
      </c>
      <c r="B13" s="9" t="n"/>
      <c r="C13" s="9" t="n"/>
      <c r="E13" s="9" t="inlineStr">
        <is>
          <t>Balance Mensual vs YTD</t>
        </is>
      </c>
      <c r="F13" s="9" t="n"/>
      <c r="G13" s="9" t="n"/>
      <c r="J13" t="inlineStr">
        <is>
          <t>61 a 90 días</t>
        </is>
      </c>
      <c r="K13" t="n">
        <v>320000</v>
      </c>
    </row>
    <row r="14" ht="22" customHeight="1">
      <c r="A14" s="9" t="inlineStr">
        <is>
          <t>Bucket</t>
        </is>
      </c>
      <c r="B14" s="9" t="inlineStr">
        <is>
          <t>Saldo marzo</t>
        </is>
      </c>
      <c r="C14" s="9" t="inlineStr">
        <is>
          <t>% del total</t>
        </is>
      </c>
      <c r="E14" s="9" t="inlineStr">
        <is>
          <t>Indicador</t>
        </is>
      </c>
      <c r="F14" s="9" t="inlineStr">
        <is>
          <t>Mensual</t>
        </is>
      </c>
      <c r="G14" s="9" t="inlineStr">
        <is>
          <t>YTD</t>
        </is>
      </c>
      <c r="J14" t="inlineStr">
        <is>
          <t>Más de 90 días</t>
        </is>
      </c>
      <c r="K14" t="n">
        <v>145000</v>
      </c>
    </row>
    <row r="15" ht="22" customHeight="1">
      <c r="A15" s="10" t="inlineStr">
        <is>
          <t>1 a 30 días</t>
        </is>
      </c>
      <c r="B15" s="11" t="n">
        <v>268000</v>
      </c>
      <c r="C15" s="14" t="n">
        <v>0.1644171779141104</v>
      </c>
      <c r="E15" s="10" t="inlineStr">
        <is>
          <t>Revenue</t>
        </is>
      </c>
      <c r="F15" s="11" t="n">
        <v>6757000</v>
      </c>
      <c r="G15" s="11" t="n">
        <v>20250000</v>
      </c>
    </row>
    <row r="16" ht="22" customHeight="1">
      <c r="A16" s="10" t="inlineStr">
        <is>
          <t>31 a 60 días</t>
        </is>
      </c>
      <c r="B16" s="11" t="n">
        <v>192000</v>
      </c>
      <c r="C16" s="14" t="n">
        <v>0.1177914110429448</v>
      </c>
      <c r="E16" s="10" t="inlineStr">
        <is>
          <t>EBITDA</t>
        </is>
      </c>
      <c r="F16" s="11" t="n">
        <v>1435000</v>
      </c>
      <c r="G16" s="11" t="n">
        <v>4768000</v>
      </c>
    </row>
    <row r="17" ht="22" customHeight="1">
      <c r="A17" s="10" t="inlineStr">
        <is>
          <t>61 a 90 días</t>
        </is>
      </c>
      <c r="B17" s="11" t="n">
        <v>320000</v>
      </c>
      <c r="C17" s="14" t="n">
        <v>0.196319018404908</v>
      </c>
      <c r="E17" s="10" t="inlineStr">
        <is>
          <t>Nómina</t>
        </is>
      </c>
      <c r="F17" s="11" t="n">
        <v>4159000</v>
      </c>
      <c r="G17" s="11" t="n">
        <v>12437000</v>
      </c>
    </row>
    <row r="18" ht="22" customHeight="1">
      <c r="A18" s="10" t="inlineStr">
        <is>
          <t>Más de 90 días</t>
        </is>
      </c>
      <c r="B18" s="11" t="n">
        <v>145000</v>
      </c>
      <c r="C18" s="14" t="n">
        <v>0.08895705521472393</v>
      </c>
      <c r="E18" s="10" t="inlineStr">
        <is>
          <t>Gastos / Costos</t>
        </is>
      </c>
      <c r="F18" s="11" t="n">
        <v>5322000</v>
      </c>
      <c r="G18" s="11" t="n">
        <v>15482000</v>
      </c>
    </row>
    <row r="19" ht="22" customHeight="1">
      <c r="A19" s="10" t="inlineStr">
        <is>
          <t>TOTAL CARTERA VENCIDA</t>
        </is>
      </c>
      <c r="B19" s="11" t="n">
        <v>925000</v>
      </c>
      <c r="C19" s="14" t="n">
        <v>0.5674846625766872</v>
      </c>
    </row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2026-05-29T01:24:09Z</dcterms:created>
  <dcterms:modified xsi:type="dcterms:W3CDTF">2026-05-29T01:24:09Z</dcterms:modified>
</cp:coreProperties>
</file>