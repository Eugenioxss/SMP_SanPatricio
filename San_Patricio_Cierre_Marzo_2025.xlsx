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odr\Downloads\"/>
    </mc:Choice>
  </mc:AlternateContent>
  <xr:revisionPtr revIDLastSave="0" documentId="11_9982127253E2E5F1355CF0B033699684C69F97C8" xr6:coauthVersionLast="47" xr6:coauthVersionMax="47" xr10:uidLastSave="{00000000-0000-0000-0000-000000000000}"/>
  <bookViews>
    <workbookView xWindow="-28920" yWindow="-120" windowWidth="29040" windowHeight="15720" tabRatio="500" firstSheet="2" activeTab="6" xr2:uid="{00000000-000D-0000-FFFF-FFFF00000000}"/>
  </bookViews>
  <sheets>
    <sheet name="Portada" sheetId="1" r:id="rId1"/>
    <sheet name="Catálogo de cuentas" sheetId="2" r:id="rId2"/>
    <sheet name="Balanza Febrero" sheetId="3" r:id="rId3"/>
    <sheet name="Balanza Marzo" sheetId="4" r:id="rId4"/>
    <sheet name="Operativo Marzo" sheetId="5" r:id="rId5"/>
    <sheet name="Banco Marzo" sheetId="6" r:id="rId6"/>
    <sheet name="Presupuesto 202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0" i="7" l="1"/>
  <c r="M30" i="7"/>
  <c r="L30" i="7"/>
  <c r="K30" i="7"/>
  <c r="J30" i="7"/>
  <c r="I30" i="7"/>
  <c r="H30" i="7"/>
  <c r="G30" i="7"/>
  <c r="F30" i="7"/>
  <c r="E30" i="7"/>
  <c r="D30" i="7"/>
  <c r="C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30" i="7" s="1"/>
  <c r="N13" i="7"/>
  <c r="N32" i="7" s="1"/>
  <c r="N33" i="7" s="1"/>
  <c r="M13" i="7"/>
  <c r="M32" i="7" s="1"/>
  <c r="M33" i="7" s="1"/>
  <c r="L13" i="7"/>
  <c r="L32" i="7" s="1"/>
  <c r="L33" i="7" s="1"/>
  <c r="K13" i="7"/>
  <c r="K32" i="7" s="1"/>
  <c r="K33" i="7" s="1"/>
  <c r="J13" i="7"/>
  <c r="J32" i="7" s="1"/>
  <c r="J33" i="7" s="1"/>
  <c r="I13" i="7"/>
  <c r="I32" i="7" s="1"/>
  <c r="I33" i="7" s="1"/>
  <c r="H13" i="7"/>
  <c r="H32" i="7" s="1"/>
  <c r="H33" i="7" s="1"/>
  <c r="G13" i="7"/>
  <c r="G32" i="7" s="1"/>
  <c r="G33" i="7" s="1"/>
  <c r="F13" i="7"/>
  <c r="F32" i="7" s="1"/>
  <c r="F33" i="7" s="1"/>
  <c r="E13" i="7"/>
  <c r="E32" i="7" s="1"/>
  <c r="E33" i="7" s="1"/>
  <c r="D13" i="7"/>
  <c r="D32" i="7" s="1"/>
  <c r="D33" i="7" s="1"/>
  <c r="C13" i="7"/>
  <c r="C32" i="7" s="1"/>
  <c r="C33" i="7" s="1"/>
  <c r="O12" i="7"/>
  <c r="O11" i="7"/>
  <c r="O10" i="7"/>
  <c r="O9" i="7"/>
  <c r="O8" i="7"/>
  <c r="O7" i="7"/>
  <c r="O13" i="7" s="1"/>
  <c r="O32" i="7" s="1"/>
  <c r="O33" i="7" s="1"/>
  <c r="E31" i="6"/>
  <c r="D31" i="6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C41" i="5"/>
  <c r="D41" i="5" s="1"/>
  <c r="B41" i="5"/>
  <c r="D40" i="5"/>
  <c r="D39" i="5"/>
  <c r="D38" i="5"/>
  <c r="D37" i="5"/>
  <c r="D36" i="5"/>
  <c r="E31" i="5"/>
  <c r="D31" i="5"/>
  <c r="B31" i="5"/>
  <c r="F30" i="5"/>
  <c r="F29" i="5"/>
  <c r="F28" i="5"/>
  <c r="F27" i="5"/>
  <c r="D22" i="5"/>
  <c r="C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31" i="5" l="1"/>
  <c r="B65" i="5"/>
  <c r="B62" i="5"/>
  <c r="B61" i="5"/>
  <c r="B64" i="5"/>
  <c r="E22" i="5"/>
  <c r="B60" i="5"/>
</calcChain>
</file>

<file path=xl/sharedStrings.xml><?xml version="1.0" encoding="utf-8"?>
<sst xmlns="http://schemas.openxmlformats.org/spreadsheetml/2006/main" count="605" uniqueCount="290">
  <si>
    <t>COLEGIO SAN PATRICIO</t>
  </si>
  <si>
    <t>Cierre del mes — Marzo 2025</t>
  </si>
  <si>
    <t>Información enviada por el colegio al equipo de control financiero del fondo.</t>
  </si>
  <si>
    <t>Contenido del archivo</t>
  </si>
  <si>
    <t>• Catálogo de cuentas</t>
  </si>
  <si>
    <t>Estructura del catálogo contable del colegio.</t>
  </si>
  <si>
    <t>• Balanza Febrero</t>
  </si>
  <si>
    <t>Balanza de comprobación del mes anterior (referencia comparativa).</t>
  </si>
  <si>
    <t>• Balanza Marzo</t>
  </si>
  <si>
    <t>Balanza de comprobación del mes objeto del cierre.</t>
  </si>
  <si>
    <t>• Operativo Marzo</t>
  </si>
  <si>
    <t>Reporte mensual del colegio: matrícula, facturación, cobranza y cartera vencida.</t>
  </si>
  <si>
    <t>• Banco Marzo</t>
  </si>
  <si>
    <t>Extracto bancario parcial de la cuenta operativa del mes.</t>
  </si>
  <si>
    <t>• Presupuesto 2025</t>
  </si>
  <si>
    <t>Presupuesto mensual aprobado para el año.</t>
  </si>
  <si>
    <t>Nota:</t>
  </si>
  <si>
    <t>Todos los datos contenidos en este archivo son ficticios y no corresponden a ninguna escuela real.</t>
  </si>
  <si>
    <t>Cuenta</t>
  </si>
  <si>
    <t>Descripción</t>
  </si>
  <si>
    <t>Tipo</t>
  </si>
  <si>
    <t>Naturaleza</t>
  </si>
  <si>
    <t>1110-000</t>
  </si>
  <si>
    <t>Bancos</t>
  </si>
  <si>
    <t>Activo</t>
  </si>
  <si>
    <t>Deudora</t>
  </si>
  <si>
    <t>1120-000</t>
  </si>
  <si>
    <t>Clientes (cartera de alumnos)</t>
  </si>
  <si>
    <t>1130-000</t>
  </si>
  <si>
    <t>Deudores diversos</t>
  </si>
  <si>
    <t>1140-000</t>
  </si>
  <si>
    <t>Anticipos a proveedores</t>
  </si>
  <si>
    <t>1150-000</t>
  </si>
  <si>
    <t>IVA acreditable</t>
  </si>
  <si>
    <t>1200-000</t>
  </si>
  <si>
    <t>Mobiliario y equipo</t>
  </si>
  <si>
    <t>1210-000</t>
  </si>
  <si>
    <t>Edificio</t>
  </si>
  <si>
    <t>1220-000</t>
  </si>
  <si>
    <t>Equipo de transporte</t>
  </si>
  <si>
    <t>1290-000</t>
  </si>
  <si>
    <t>Depreciación acumulada</t>
  </si>
  <si>
    <t>Acreedora</t>
  </si>
  <si>
    <t>2110-000</t>
  </si>
  <si>
    <t>Proveedores</t>
  </si>
  <si>
    <t>Pasivo</t>
  </si>
  <si>
    <t>2120-000</t>
  </si>
  <si>
    <t>Acreedores diversos</t>
  </si>
  <si>
    <t>2130-000</t>
  </si>
  <si>
    <t>Impuestos por pagar</t>
  </si>
  <si>
    <t>2140-000</t>
  </si>
  <si>
    <t>IVA por pagar</t>
  </si>
  <si>
    <t>2150-000</t>
  </si>
  <si>
    <t>Anticipos de alumnos</t>
  </si>
  <si>
    <t>3100-000</t>
  </si>
  <si>
    <t>Capital social</t>
  </si>
  <si>
    <t>Capital</t>
  </si>
  <si>
    <t>3200-000</t>
  </si>
  <si>
    <t>Resultados acumulados</t>
  </si>
  <si>
    <t>4100-001</t>
  </si>
  <si>
    <t>Colegiaturas preescolar</t>
  </si>
  <si>
    <t>Ingreso</t>
  </si>
  <si>
    <t>4100-002</t>
  </si>
  <si>
    <t>Colegiaturas primaria</t>
  </si>
  <si>
    <t>4100-003</t>
  </si>
  <si>
    <t>Colegiaturas secundaria</t>
  </si>
  <si>
    <t>4100-004</t>
  </si>
  <si>
    <t>Colegiaturas preparatoria</t>
  </si>
  <si>
    <t>4200-000</t>
  </si>
  <si>
    <t>Inscripciones</t>
  </si>
  <si>
    <t>4300-000</t>
  </si>
  <si>
    <t>Otros ingresos (transporte, comedor, eventos)</t>
  </si>
  <si>
    <t>4400-000</t>
  </si>
  <si>
    <t>Recargos por mora</t>
  </si>
  <si>
    <t>5110-000</t>
  </si>
  <si>
    <t>Sueldos y salarios docentes</t>
  </si>
  <si>
    <t>Gasto</t>
  </si>
  <si>
    <t>5120-000</t>
  </si>
  <si>
    <t>Prestaciones docentes</t>
  </si>
  <si>
    <t>5130-000</t>
  </si>
  <si>
    <t>IMSS/INFONAVIT docentes</t>
  </si>
  <si>
    <t>5210-000</t>
  </si>
  <si>
    <t>Sueldos y salarios administrativos</t>
  </si>
  <si>
    <t>5220-000</t>
  </si>
  <si>
    <t>Prestaciones administrativos</t>
  </si>
  <si>
    <t>5230-000</t>
  </si>
  <si>
    <t>IMSS/INFONAVIT administrativos</t>
  </si>
  <si>
    <t>5300-000</t>
  </si>
  <si>
    <t>Servicios (luz, agua, gas, internet)</t>
  </si>
  <si>
    <t>5400-000</t>
  </si>
  <si>
    <t>Mantenimiento e instalaciones</t>
  </si>
  <si>
    <t>5500-000</t>
  </si>
  <si>
    <t>Material didáctico y consumibles</t>
  </si>
  <si>
    <t>5600-000</t>
  </si>
  <si>
    <t>Marketing y publicidad</t>
  </si>
  <si>
    <t>5700-000</t>
  </si>
  <si>
    <t>Gastos de viaje y representación</t>
  </si>
  <si>
    <t>5800-000</t>
  </si>
  <si>
    <t>Honorarios profesionales</t>
  </si>
  <si>
    <t>5900-000</t>
  </si>
  <si>
    <t>Depreciación del ejercicio</t>
  </si>
  <si>
    <t>5950-000</t>
  </si>
  <si>
    <t>Otros gastos</t>
  </si>
  <si>
    <t>Colegio San Patricio</t>
  </si>
  <si>
    <t>Balanza de comprobación — Febrero 2025</t>
  </si>
  <si>
    <t>Cifras en pesos mexicanos (MXN). Saldos acumulados al cierre del periodo.</t>
  </si>
  <si>
    <t>Saldo inicial</t>
  </si>
  <si>
    <t>Cargos del período</t>
  </si>
  <si>
    <t>Abonos del período</t>
  </si>
  <si>
    <t>Saldo final</t>
  </si>
  <si>
    <t>Balanza de comprobación — Marzo 2025</t>
  </si>
  <si>
    <t>Reporte operativo — Marzo 2025</t>
  </si>
  <si>
    <t>Reporte enviado por la dirección administrativa del colegio.</t>
  </si>
  <si>
    <t>1. Alumnos activos al cierre del mes</t>
  </si>
  <si>
    <t>Nivel</t>
  </si>
  <si>
    <t>Grado</t>
  </si>
  <si>
    <t>Alumnos activos</t>
  </si>
  <si>
    <t>Cupo máximo</t>
  </si>
  <si>
    <t>Utilización</t>
  </si>
  <si>
    <t>Preescolar</t>
  </si>
  <si>
    <t>Preescolar 1°</t>
  </si>
  <si>
    <t>Preescolar 2°</t>
  </si>
  <si>
    <t>Preescolar 3°</t>
  </si>
  <si>
    <t>Primaria</t>
  </si>
  <si>
    <t>Primaria 1°</t>
  </si>
  <si>
    <t>Primaria 2°</t>
  </si>
  <si>
    <t>Primaria 3°</t>
  </si>
  <si>
    <t>Primaria 4°</t>
  </si>
  <si>
    <t>Primaria 5°</t>
  </si>
  <si>
    <t>Primaria 6°</t>
  </si>
  <si>
    <t>Secundaria</t>
  </si>
  <si>
    <t>Secundaria 1°</t>
  </si>
  <si>
    <t>Secundaria 2°</t>
  </si>
  <si>
    <t>Secundaria 3°</t>
  </si>
  <si>
    <t>Preparatoria</t>
  </si>
  <si>
    <t>Prepa 1°</t>
  </si>
  <si>
    <t>Prepa 2°</t>
  </si>
  <si>
    <t>Prepa 3°</t>
  </si>
  <si>
    <t>TOTAL</t>
  </si>
  <si>
    <t>2. Facturación y cobranza del mes</t>
  </si>
  <si>
    <t>Alumnos</t>
  </si>
  <si>
    <t>Mensualidad</t>
  </si>
  <si>
    <t>Facturado del mes</t>
  </si>
  <si>
    <t>Cobrado del mes</t>
  </si>
  <si>
    <t>% Cobranza</t>
  </si>
  <si>
    <t>3. Cartera vencida al cierre del mes</t>
  </si>
  <si>
    <t>Antigüedad</t>
  </si>
  <si>
    <t>Saldo febrero</t>
  </si>
  <si>
    <t>Saldo marzo</t>
  </si>
  <si>
    <t>Variación</t>
  </si>
  <si>
    <t>Al corriente</t>
  </si>
  <si>
    <t>1 a 30 días</t>
  </si>
  <si>
    <t>31 a 60 días</t>
  </si>
  <si>
    <t>61 a 90 días</t>
  </si>
  <si>
    <t>Más de 90 días</t>
  </si>
  <si>
    <t>4. Muestra de alumnos activos (validación de captura)</t>
  </si>
  <si>
    <t>Folio</t>
  </si>
  <si>
    <t>Nombre del alumno</t>
  </si>
  <si>
    <t>Estatus de pago</t>
  </si>
  <si>
    <t>ALU-1024</t>
  </si>
  <si>
    <t>Ana Sofía Méndez Robles</t>
  </si>
  <si>
    <t>ALU-1031</t>
  </si>
  <si>
    <t>Diego Alejandro Vargas Pérez</t>
  </si>
  <si>
    <t>ALU-1042</t>
  </si>
  <si>
    <t>Luis Pérez García</t>
  </si>
  <si>
    <t>ALU-1108</t>
  </si>
  <si>
    <t>Mariana Rodríguez Salinas</t>
  </si>
  <si>
    <t>ALU-1147</t>
  </si>
  <si>
    <t>Sebastián Treviño López</t>
  </si>
  <si>
    <t>1-30 días</t>
  </si>
  <si>
    <t>ALU-1203</t>
  </si>
  <si>
    <t>Valentina Cervantes Ortiz</t>
  </si>
  <si>
    <t>ALU-1218</t>
  </si>
  <si>
    <t>Emiliano Castillo Ramírez</t>
  </si>
  <si>
    <t>61-90 días</t>
  </si>
  <si>
    <t>ALU-1244</t>
  </si>
  <si>
    <t>Camila Fernández Aguilar</t>
  </si>
  <si>
    <t>ALU-1302</t>
  </si>
  <si>
    <t>Daniel Garza Montemayor</t>
  </si>
  <si>
    <t>ALU-1325</t>
  </si>
  <si>
    <t>Renata Villarreal Hernández</t>
  </si>
  <si>
    <t>&gt;90 días</t>
  </si>
  <si>
    <t>ALU-1338</t>
  </si>
  <si>
    <t>Andrés Saldaña Cantú</t>
  </si>
  <si>
    <t>5. Resumen general del mes</t>
  </si>
  <si>
    <t>Alumnos activos totales</t>
  </si>
  <si>
    <t>Facturación de colegiaturas</t>
  </si>
  <si>
    <t>Cobranza de colegiaturas</t>
  </si>
  <si>
    <t>Otros ingresos del mes (transporte, comedor, eventos)</t>
  </si>
  <si>
    <t>Total facturado del mes (colegiaturas + otros)</t>
  </si>
  <si>
    <t>Total cobrado del mes (colegiaturas + otros)</t>
  </si>
  <si>
    <t>Extracto bancario — Cuenta operativa — Marzo 2025</t>
  </si>
  <si>
    <t>Cuenta No. ****-2841 · Banco Nacional · Movimientos del 01-mar-2025 al 31-mar-2025</t>
  </si>
  <si>
    <t>Fecha</t>
  </si>
  <si>
    <t>Referencia</t>
  </si>
  <si>
    <t>Concepto</t>
  </si>
  <si>
    <t>Depósito</t>
  </si>
  <si>
    <t>Retiro</t>
  </si>
  <si>
    <t>Saldo</t>
  </si>
  <si>
    <t>01/03/2025</t>
  </si>
  <si>
    <t>Saldo inicial del mes</t>
  </si>
  <si>
    <t>03/03/2025</t>
  </si>
  <si>
    <t>TR-2103-001</t>
  </si>
  <si>
    <t>Transferencia colegiaturas - referencia múltiple</t>
  </si>
  <si>
    <t>04/03/2025</t>
  </si>
  <si>
    <t>PAG-2103-04</t>
  </si>
  <si>
    <t>Pago nómina docente quincena 1</t>
  </si>
  <si>
    <t>05/03/2025</t>
  </si>
  <si>
    <t>TR-2103-002</t>
  </si>
  <si>
    <t>PROV-1842</t>
  </si>
  <si>
    <t>Pago a proveedor Suministros Escolares SA</t>
  </si>
  <si>
    <t>06/03/2025</t>
  </si>
  <si>
    <t>TR-2103-003</t>
  </si>
  <si>
    <t>Depósito colegiaturas SPEI</t>
  </si>
  <si>
    <t>07/03/2025</t>
  </si>
  <si>
    <t>SERV-CFE</t>
  </si>
  <si>
    <t>Pago CFE servicio eléctrico</t>
  </si>
  <si>
    <t>10/03/2025</t>
  </si>
  <si>
    <t>TR-2103-004</t>
  </si>
  <si>
    <t>11/03/2025</t>
  </si>
  <si>
    <t>TR-2103-005</t>
  </si>
  <si>
    <t>12/03/2025</t>
  </si>
  <si>
    <t>PROV-1856</t>
  </si>
  <si>
    <t>Pago a proveedor Editorial Académica</t>
  </si>
  <si>
    <t>13/03/2025</t>
  </si>
  <si>
    <t>TR-2103-006</t>
  </si>
  <si>
    <t>14/03/2025</t>
  </si>
  <si>
    <t>SAT-MAR</t>
  </si>
  <si>
    <t>Pago impuestos SAT</t>
  </si>
  <si>
    <t>17/03/2025</t>
  </si>
  <si>
    <t>TR-2103-007</t>
  </si>
  <si>
    <t>18/03/2025</t>
  </si>
  <si>
    <t>DEPÓSITO REF 783452</t>
  </si>
  <si>
    <t>Depósito recibido - referencia no identificada</t>
  </si>
  <si>
    <t>PAG-2103-18</t>
  </si>
  <si>
    <t>Pago nómina docente quincena 2</t>
  </si>
  <si>
    <t>19/03/2025</t>
  </si>
  <si>
    <t>TR-2103-008</t>
  </si>
  <si>
    <t>20/03/2025</t>
  </si>
  <si>
    <t>PROV-1871</t>
  </si>
  <si>
    <t>Pago a proveedor Mantenimiento Integral</t>
  </si>
  <si>
    <t>21/03/2025</t>
  </si>
  <si>
    <t>TR-2103-009</t>
  </si>
  <si>
    <t>24/03/2025</t>
  </si>
  <si>
    <t>TR-2103-010</t>
  </si>
  <si>
    <t>25/03/2025</t>
  </si>
  <si>
    <t>PAG-2103-25</t>
  </si>
  <si>
    <t>Pago nómina administrativos</t>
  </si>
  <si>
    <t>26/03/2025</t>
  </si>
  <si>
    <t>PROV-1885</t>
  </si>
  <si>
    <t>Pago a proveedor Servicios Generales SA</t>
  </si>
  <si>
    <t>27/03/2025</t>
  </si>
  <si>
    <t>TR-2103-011</t>
  </si>
  <si>
    <t>28/03/2025</t>
  </si>
  <si>
    <t>SERV-AGUA</t>
  </si>
  <si>
    <t>Pago servicio de agua</t>
  </si>
  <si>
    <t>31/03/2025</t>
  </si>
  <si>
    <t>TR-2103-012</t>
  </si>
  <si>
    <t>COM-BANC</t>
  </si>
  <si>
    <t>Comisiones bancarias marzo</t>
  </si>
  <si>
    <t>TOTAL DEL MES</t>
  </si>
  <si>
    <t>Nota: este extracto es parcial e incluye los movimientos más representativos del mes.</t>
  </si>
  <si>
    <t>Presupuesto aprobado 2025</t>
  </si>
  <si>
    <t>Cifras mensuales en pesos mexicanos (MXN). Aprobado por consejo en enero 2025.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</si>
  <si>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</si>
  <si>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</si>
  <si>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</si>
  <si>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</si>
  <si>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</si>
  <si>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</si>
  <si>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</si>
  <si>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</si>
  <si>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</si>
  <si>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</si>
  <si>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</si>
  <si>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</si>
  <si>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</si>
  <si>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INGRESOS</t>
  </si>
  <si>
    <t>Otros ingresos</t>
  </si>
  <si>
    <t>Total ingresos</t>
  </si>
  <si>
    <t>COSTOS Y GASTOS</t>
  </si>
  <si>
    <t>Servicios</t>
  </si>
  <si>
    <t>Mantenimiento</t>
  </si>
  <si>
    <t>Material didáctico</t>
  </si>
  <si>
    <t>Marketing</t>
  </si>
  <si>
    <t>Gastos de viaje</t>
  </si>
  <si>
    <t>Depreciación</t>
  </si>
  <si>
    <t>Total costos y gastos</t>
  </si>
  <si>
    <t>EBITDA presupuestado</t>
  </si>
  <si>
    <t>Margen EBITDA presupuestado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</si>
</sst>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6" x14ac:knownFonts="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i/>
      <sz val="12"/>
      <color rgb="FF595959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1"/>
      <name val="Arial"/>
      <charset val="1"/>
    </font>
    <font>
      <b/>
      <i/>
      <sz val="10"/>
      <color rgb="FF595959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i/>
      <sz val="11"/>
      <color rgb="FF595959"/>
      <name val="Arial"/>
      <charset val="1"/>
    </font>
    <font>
      <i/>
      <sz val="9"/>
      <color rgb="FF808080"/>
      <name val="Arial"/>
      <charset val="1"/>
    </font>
    <font>
      <b/>
      <sz val="11"/>
      <color rgb="FF1F3864"/>
      <name val="Arial"/>
      <charset val="1"/>
    </font>
    <font>
      <b/>
      <sz val="10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0" fillId="0" borderId="1" xfId="0" applyNumberFormat="1" applyFont="1" applyBorder="1" applyAlignment="1">
      <alignment horizontal="right" vertical="center"/>
    </xf>
    <xf numFmtId="0" fontId="14" fillId="0" borderId="0" xfId="0" applyFont="1"/>
    <xf numFmtId="3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3" fontId="15" fillId="3" borderId="1" xfId="0" applyNumberFormat="1" applyFont="1" applyFill="1" applyBorder="1" applyAlignment="1">
      <alignment horizontal="right" vertical="center"/>
    </xf>
    <xf numFmtId="165" fontId="15" fillId="3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15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16"/>
  <sheetViews>
    <sheetView showGridLines="0" zoomScaleNormal="100" workbookViewId="0">
      <selection activeCell="C11" sqref="C11"/>
    </sheetView>
  </sheetViews>
  <sheetFormatPr defaultColWidth="8.6328125" defaultRowHeight="14.5" x14ac:dyDescent="0.35"/>
  <cols>
    <col min="1" max="1" width="2" customWidth="1"/>
    <col min="2" max="2" width="28" customWidth="1"/>
    <col min="3" max="3" width="70" customWidth="1"/>
  </cols>
  <sheetData>
    <row r="2" spans="2:3" ht="25" x14ac:dyDescent="0.5">
      <c r="B2" s="1" t="s">
        <v>0</v>
      </c>
    </row>
    <row r="3" spans="2:3" ht="15.5" x14ac:dyDescent="0.35">
      <c r="B3" s="2" t="s">
        <v>1</v>
      </c>
    </row>
    <row r="5" spans="2:3" x14ac:dyDescent="0.35">
      <c r="B5" s="3" t="s">
        <v>2</v>
      </c>
    </row>
    <row r="7" spans="2:3" ht="15.5" x14ac:dyDescent="0.35">
      <c r="B7" s="4" t="s">
        <v>3</v>
      </c>
    </row>
    <row r="8" spans="2:3" x14ac:dyDescent="0.35">
      <c r="B8" s="5" t="s">
        <v>4</v>
      </c>
      <c r="C8" s="3" t="s">
        <v>5</v>
      </c>
    </row>
    <row r="9" spans="2:3" x14ac:dyDescent="0.35">
      <c r="B9" s="5" t="s">
        <v>6</v>
      </c>
      <c r="C9" s="3" t="s">
        <v>7</v>
      </c>
    </row>
    <row r="10" spans="2:3" x14ac:dyDescent="0.35">
      <c r="B10" s="5" t="s">
        <v>8</v>
      </c>
      <c r="C10" s="3" t="s">
        <v>9</v>
      </c>
    </row>
    <row r="11" spans="2:3" x14ac:dyDescent="0.35">
      <c r="B11" s="5" t="s">
        <v>10</v>
      </c>
      <c r="C11" s="3" t="s">
        <v>11</v>
      </c>
    </row>
    <row r="12" spans="2:3" x14ac:dyDescent="0.35">
      <c r="B12" s="5" t="s">
        <v>12</v>
      </c>
      <c r="C12" s="3" t="s">
        <v>13</v>
      </c>
    </row>
    <row r="13" spans="2:3" x14ac:dyDescent="0.35">
      <c r="B13" s="5" t="s">
        <v>14</v>
      </c>
      <c r="C13" s="3" t="s">
        <v>15</v>
      </c>
    </row>
    <row r="16" spans="2:3" x14ac:dyDescent="0.35">
      <c r="B16" s="6" t="s">
        <v>16</v>
      </c>
      <c r="C16" s="7" t="s">
        <v>17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50" customWidth="1"/>
    <col min="3" max="4" width="14" customWidth="1"/>
  </cols>
  <sheetData>
    <row r="1" spans="1:4" x14ac:dyDescent="0.35">
      <c r="A1" s="8" t="s">
        <v>18</v>
      </c>
      <c r="B1" s="8" t="s">
        <v>19</v>
      </c>
      <c r="C1" s="8" t="s">
        <v>20</v>
      </c>
      <c r="D1" s="8" t="s">
        <v>21</v>
      </c>
    </row>
    <row r="2" spans="1:4" x14ac:dyDescent="0.35">
      <c r="A2" s="9" t="s">
        <v>22</v>
      </c>
      <c r="B2" s="10" t="s">
        <v>23</v>
      </c>
      <c r="C2" s="11" t="s">
        <v>24</v>
      </c>
      <c r="D2" s="11" t="s">
        <v>25</v>
      </c>
    </row>
    <row r="3" spans="1:4" x14ac:dyDescent="0.35">
      <c r="A3" s="9" t="s">
        <v>26</v>
      </c>
      <c r="B3" s="10" t="s">
        <v>27</v>
      </c>
      <c r="C3" s="11" t="s">
        <v>24</v>
      </c>
      <c r="D3" s="11" t="s">
        <v>25</v>
      </c>
    </row>
    <row r="4" spans="1:4" x14ac:dyDescent="0.35">
      <c r="A4" s="9" t="s">
        <v>28</v>
      </c>
      <c r="B4" s="10" t="s">
        <v>29</v>
      </c>
      <c r="C4" s="11" t="s">
        <v>24</v>
      </c>
      <c r="D4" s="11" t="s">
        <v>25</v>
      </c>
    </row>
    <row r="5" spans="1:4" x14ac:dyDescent="0.35">
      <c r="A5" s="9" t="s">
        <v>30</v>
      </c>
      <c r="B5" s="10" t="s">
        <v>31</v>
      </c>
      <c r="C5" s="11" t="s">
        <v>24</v>
      </c>
      <c r="D5" s="11" t="s">
        <v>25</v>
      </c>
    </row>
    <row r="6" spans="1:4" x14ac:dyDescent="0.35">
      <c r="A6" s="9" t="s">
        <v>32</v>
      </c>
      <c r="B6" s="10" t="s">
        <v>33</v>
      </c>
      <c r="C6" s="11" t="s">
        <v>24</v>
      </c>
      <c r="D6" s="11" t="s">
        <v>25</v>
      </c>
    </row>
    <row r="7" spans="1:4" x14ac:dyDescent="0.35">
      <c r="A7" s="9" t="s">
        <v>34</v>
      </c>
      <c r="B7" s="10" t="s">
        <v>35</v>
      </c>
      <c r="C7" s="11" t="s">
        <v>24</v>
      </c>
      <c r="D7" s="11" t="s">
        <v>25</v>
      </c>
    </row>
    <row r="8" spans="1:4" x14ac:dyDescent="0.35">
      <c r="A8" s="9" t="s">
        <v>36</v>
      </c>
      <c r="B8" s="10" t="s">
        <v>37</v>
      </c>
      <c r="C8" s="11" t="s">
        <v>24</v>
      </c>
      <c r="D8" s="11" t="s">
        <v>25</v>
      </c>
    </row>
    <row r="9" spans="1:4" x14ac:dyDescent="0.35">
      <c r="A9" s="9" t="s">
        <v>38</v>
      </c>
      <c r="B9" s="10" t="s">
        <v>39</v>
      </c>
      <c r="C9" s="11" t="s">
        <v>24</v>
      </c>
      <c r="D9" s="11" t="s">
        <v>25</v>
      </c>
    </row>
    <row r="10" spans="1:4" x14ac:dyDescent="0.35">
      <c r="A10" s="9" t="s">
        <v>40</v>
      </c>
      <c r="B10" s="10" t="s">
        <v>41</v>
      </c>
      <c r="C10" s="11" t="s">
        <v>24</v>
      </c>
      <c r="D10" s="11" t="s">
        <v>42</v>
      </c>
    </row>
    <row r="11" spans="1:4" x14ac:dyDescent="0.35">
      <c r="A11" s="9" t="s">
        <v>43</v>
      </c>
      <c r="B11" s="10" t="s">
        <v>44</v>
      </c>
      <c r="C11" s="11" t="s">
        <v>45</v>
      </c>
      <c r="D11" s="11" t="s">
        <v>42</v>
      </c>
    </row>
    <row r="12" spans="1:4" x14ac:dyDescent="0.35">
      <c r="A12" s="9" t="s">
        <v>46</v>
      </c>
      <c r="B12" s="10" t="s">
        <v>47</v>
      </c>
      <c r="C12" s="11" t="s">
        <v>45</v>
      </c>
      <c r="D12" s="11" t="s">
        <v>42</v>
      </c>
    </row>
    <row r="13" spans="1:4" x14ac:dyDescent="0.35">
      <c r="A13" s="9" t="s">
        <v>48</v>
      </c>
      <c r="B13" s="10" t="s">
        <v>49</v>
      </c>
      <c r="C13" s="11" t="s">
        <v>45</v>
      </c>
      <c r="D13" s="11" t="s">
        <v>42</v>
      </c>
    </row>
    <row r="14" spans="1:4" x14ac:dyDescent="0.35">
      <c r="A14" s="9" t="s">
        <v>50</v>
      </c>
      <c r="B14" s="10" t="s">
        <v>51</v>
      </c>
      <c r="C14" s="11" t="s">
        <v>45</v>
      </c>
      <c r="D14" s="11" t="s">
        <v>42</v>
      </c>
    </row>
    <row r="15" spans="1:4" x14ac:dyDescent="0.35">
      <c r="A15" s="9" t="s">
        <v>52</v>
      </c>
      <c r="B15" s="10" t="s">
        <v>53</v>
      </c>
      <c r="C15" s="11" t="s">
        <v>45</v>
      </c>
      <c r="D15" s="11" t="s">
        <v>42</v>
      </c>
    </row>
    <row r="16" spans="1:4" x14ac:dyDescent="0.35">
      <c r="A16" s="9" t="s">
        <v>54</v>
      </c>
      <c r="B16" s="10" t="s">
        <v>55</v>
      </c>
      <c r="C16" s="11" t="s">
        <v>56</v>
      </c>
      <c r="D16" s="11" t="s">
        <v>42</v>
      </c>
    </row>
    <row r="17" spans="1:4" x14ac:dyDescent="0.35">
      <c r="A17" s="9" t="s">
        <v>57</v>
      </c>
      <c r="B17" s="10" t="s">
        <v>58</v>
      </c>
      <c r="C17" s="11" t="s">
        <v>56</v>
      </c>
      <c r="D17" s="11" t="s">
        <v>42</v>
      </c>
    </row>
    <row r="18" spans="1:4" x14ac:dyDescent="0.35">
      <c r="A18" s="9" t="s">
        <v>59</v>
      </c>
      <c r="B18" s="10" t="s">
        <v>60</v>
      </c>
      <c r="C18" s="11" t="s">
        <v>61</v>
      </c>
      <c r="D18" s="11" t="s">
        <v>42</v>
      </c>
    </row>
    <row r="19" spans="1:4" x14ac:dyDescent="0.35">
      <c r="A19" s="9" t="s">
        <v>62</v>
      </c>
      <c r="B19" s="10" t="s">
        <v>63</v>
      </c>
      <c r="C19" s="11" t="s">
        <v>61</v>
      </c>
      <c r="D19" s="11" t="s">
        <v>42</v>
      </c>
    </row>
    <row r="20" spans="1:4" x14ac:dyDescent="0.35">
      <c r="A20" s="9" t="s">
        <v>64</v>
      </c>
      <c r="B20" s="10" t="s">
        <v>65</v>
      </c>
      <c r="C20" s="11" t="s">
        <v>61</v>
      </c>
      <c r="D20" s="11" t="s">
        <v>42</v>
      </c>
    </row>
    <row r="21" spans="1:4" x14ac:dyDescent="0.35">
      <c r="A21" s="9" t="s">
        <v>66</v>
      </c>
      <c r="B21" s="10" t="s">
        <v>67</v>
      </c>
      <c r="C21" s="11" t="s">
        <v>61</v>
      </c>
      <c r="D21" s="11" t="s">
        <v>42</v>
      </c>
    </row>
    <row r="22" spans="1:4" x14ac:dyDescent="0.35">
      <c r="A22" s="9" t="s">
        <v>68</v>
      </c>
      <c r="B22" s="10" t="s">
        <v>69</v>
      </c>
      <c r="C22" s="11" t="s">
        <v>61</v>
      </c>
      <c r="D22" s="11" t="s">
        <v>42</v>
      </c>
    </row>
    <row r="23" spans="1:4" x14ac:dyDescent="0.35">
      <c r="A23" s="9" t="s">
        <v>70</v>
      </c>
      <c r="B23" s="10" t="s">
        <v>71</v>
      </c>
      <c r="C23" s="11" t="s">
        <v>61</v>
      </c>
      <c r="D23" s="11" t="s">
        <v>42</v>
      </c>
    </row>
    <row r="24" spans="1:4" x14ac:dyDescent="0.35">
      <c r="A24" s="9" t="s">
        <v>72</v>
      </c>
      <c r="B24" s="10" t="s">
        <v>73</v>
      </c>
      <c r="C24" s="11" t="s">
        <v>61</v>
      </c>
      <c r="D24" s="11" t="s">
        <v>42</v>
      </c>
    </row>
    <row r="25" spans="1:4" x14ac:dyDescent="0.35">
      <c r="A25" s="9" t="s">
        <v>74</v>
      </c>
      <c r="B25" s="10" t="s">
        <v>75</v>
      </c>
      <c r="C25" s="11" t="s">
        <v>76</v>
      </c>
      <c r="D25" s="11" t="s">
        <v>25</v>
      </c>
    </row>
    <row r="26" spans="1:4" x14ac:dyDescent="0.35">
      <c r="A26" s="9" t="s">
        <v>77</v>
      </c>
      <c r="B26" s="10" t="s">
        <v>78</v>
      </c>
      <c r="C26" s="11" t="s">
        <v>76</v>
      </c>
      <c r="D26" s="11" t="s">
        <v>25</v>
      </c>
    </row>
    <row r="27" spans="1:4" x14ac:dyDescent="0.35">
      <c r="A27" s="9" t="s">
        <v>79</v>
      </c>
      <c r="B27" s="10" t="s">
        <v>80</v>
      </c>
      <c r="C27" s="11" t="s">
        <v>76</v>
      </c>
      <c r="D27" s="11" t="s">
        <v>25</v>
      </c>
    </row>
    <row r="28" spans="1:4" x14ac:dyDescent="0.35">
      <c r="A28" s="9" t="s">
        <v>81</v>
      </c>
      <c r="B28" s="10" t="s">
        <v>82</v>
      </c>
      <c r="C28" s="11" t="s">
        <v>76</v>
      </c>
      <c r="D28" s="11" t="s">
        <v>25</v>
      </c>
    </row>
    <row r="29" spans="1:4" x14ac:dyDescent="0.35">
      <c r="A29" s="9" t="s">
        <v>83</v>
      </c>
      <c r="B29" s="10" t="s">
        <v>84</v>
      </c>
      <c r="C29" s="11" t="s">
        <v>76</v>
      </c>
      <c r="D29" s="11" t="s">
        <v>25</v>
      </c>
    </row>
    <row r="30" spans="1:4" x14ac:dyDescent="0.35">
      <c r="A30" s="9" t="s">
        <v>85</v>
      </c>
      <c r="B30" s="10" t="s">
        <v>86</v>
      </c>
      <c r="C30" s="11" t="s">
        <v>76</v>
      </c>
      <c r="D30" s="11" t="s">
        <v>25</v>
      </c>
    </row>
    <row r="31" spans="1:4" x14ac:dyDescent="0.35">
      <c r="A31" s="9" t="s">
        <v>87</v>
      </c>
      <c r="B31" s="10" t="s">
        <v>88</v>
      </c>
      <c r="C31" s="11" t="s">
        <v>76</v>
      </c>
      <c r="D31" s="11" t="s">
        <v>25</v>
      </c>
    </row>
    <row r="32" spans="1:4" x14ac:dyDescent="0.35">
      <c r="A32" s="9" t="s">
        <v>89</v>
      </c>
      <c r="B32" s="10" t="s">
        <v>90</v>
      </c>
      <c r="C32" s="11" t="s">
        <v>76</v>
      </c>
      <c r="D32" s="11" t="s">
        <v>25</v>
      </c>
    </row>
    <row r="33" spans="1:4" x14ac:dyDescent="0.35">
      <c r="A33" s="9" t="s">
        <v>91</v>
      </c>
      <c r="B33" s="10" t="s">
        <v>92</v>
      </c>
      <c r="C33" s="11" t="s">
        <v>76</v>
      </c>
      <c r="D33" s="11" t="s">
        <v>25</v>
      </c>
    </row>
    <row r="34" spans="1:4" x14ac:dyDescent="0.35">
      <c r="A34" s="9" t="s">
        <v>93</v>
      </c>
      <c r="B34" s="10" t="s">
        <v>94</v>
      </c>
      <c r="C34" s="11" t="s">
        <v>76</v>
      </c>
      <c r="D34" s="11" t="s">
        <v>25</v>
      </c>
    </row>
    <row r="35" spans="1:4" x14ac:dyDescent="0.35">
      <c r="A35" s="9" t="s">
        <v>95</v>
      </c>
      <c r="B35" s="10" t="s">
        <v>96</v>
      </c>
      <c r="C35" s="11" t="s">
        <v>76</v>
      </c>
      <c r="D35" s="11" t="s">
        <v>25</v>
      </c>
    </row>
    <row r="36" spans="1:4" x14ac:dyDescent="0.35">
      <c r="A36" s="9" t="s">
        <v>97</v>
      </c>
      <c r="B36" s="10" t="s">
        <v>98</v>
      </c>
      <c r="C36" s="11" t="s">
        <v>76</v>
      </c>
      <c r="D36" s="11" t="s">
        <v>25</v>
      </c>
    </row>
    <row r="37" spans="1:4" x14ac:dyDescent="0.35">
      <c r="A37" s="9" t="s">
        <v>99</v>
      </c>
      <c r="B37" s="10" t="s">
        <v>100</v>
      </c>
      <c r="C37" s="11" t="s">
        <v>76</v>
      </c>
      <c r="D37" s="11" t="s">
        <v>25</v>
      </c>
    </row>
    <row r="38" spans="1:4" x14ac:dyDescent="0.35">
      <c r="A38" s="9" t="s">
        <v>101</v>
      </c>
      <c r="B38" s="10" t="s">
        <v>102</v>
      </c>
      <c r="C38" s="11" t="s">
        <v>76</v>
      </c>
      <c r="D38" s="11" t="s">
        <v>25</v>
      </c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2"/>
  <sheetViews>
    <sheetView showGridLines="0" zoomScaleNormal="100" workbookViewId="0">
      <pane ySplit="5" topLeftCell="A13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48" customWidth="1"/>
    <col min="3" max="6" width="16" customWidth="1"/>
  </cols>
  <sheetData>
    <row r="1" spans="1:6" ht="18" x14ac:dyDescent="0.4">
      <c r="A1" s="12" t="s">
        <v>103</v>
      </c>
    </row>
    <row r="2" spans="1:6" x14ac:dyDescent="0.35">
      <c r="A2" s="13" t="s">
        <v>104</v>
      </c>
    </row>
    <row r="3" spans="1:6" x14ac:dyDescent="0.35">
      <c r="A3" s="14" t="s">
        <v>105</v>
      </c>
    </row>
    <row r="5" spans="1:6" ht="26" x14ac:dyDescent="0.35">
      <c r="A5" s="8" t="s">
        <v>18</v>
      </c>
      <c r="B5" s="8" t="s">
        <v>19</v>
      </c>
      <c r="C5" s="8" t="s">
        <v>106</v>
      </c>
      <c r="D5" s="8" t="s">
        <v>107</v>
      </c>
      <c r="E5" s="8" t="s">
        <v>108</v>
      </c>
      <c r="F5" s="8" t="s">
        <v>109</v>
      </c>
    </row>
    <row r="6" spans="1:6" x14ac:dyDescent="0.35">
      <c r="A6" s="9" t="s">
        <v>22</v>
      </c>
      <c r="B6" s="10" t="s">
        <v>23</v>
      </c>
      <c r="C6" s="15">
        <v>4850000</v>
      </c>
      <c r="D6" s="15">
        <v>6320000</v>
      </c>
      <c r="E6" s="15">
        <v>5890000</v>
      </c>
      <c r="F6" s="15">
        <f t="shared" ref="F6:F42" si="0">C6+D6-E6</f>
        <v>5280000</v>
      </c>
    </row>
    <row r="7" spans="1:6" x14ac:dyDescent="0.35">
      <c r="A7" s="9" t="s">
        <v>26</v>
      </c>
      <c r="B7" s="10" t="s">
        <v>27</v>
      </c>
      <c r="C7" s="15">
        <v>1180000</v>
      </c>
      <c r="D7" s="15">
        <v>6380000</v>
      </c>
      <c r="E7" s="15">
        <v>6240000</v>
      </c>
      <c r="F7" s="15">
        <f t="shared" si="0"/>
        <v>1320000</v>
      </c>
    </row>
    <row r="8" spans="1:6" x14ac:dyDescent="0.35">
      <c r="A8" s="9" t="s">
        <v>28</v>
      </c>
      <c r="B8" s="10" t="s">
        <v>29</v>
      </c>
      <c r="C8" s="15">
        <v>95000</v>
      </c>
      <c r="D8" s="15">
        <v>28000</v>
      </c>
      <c r="E8" s="15">
        <v>32000</v>
      </c>
      <c r="F8" s="15">
        <f t="shared" si="0"/>
        <v>91000</v>
      </c>
    </row>
    <row r="9" spans="1:6" x14ac:dyDescent="0.35">
      <c r="A9" s="9" t="s">
        <v>30</v>
      </c>
      <c r="B9" s="10" t="s">
        <v>31</v>
      </c>
      <c r="C9" s="15">
        <v>180000</v>
      </c>
      <c r="D9" s="15">
        <v>145000</v>
      </c>
      <c r="E9" s="15">
        <v>165000</v>
      </c>
      <c r="F9" s="15">
        <f t="shared" si="0"/>
        <v>160000</v>
      </c>
    </row>
    <row r="10" spans="1:6" x14ac:dyDescent="0.35">
      <c r="A10" s="9" t="s">
        <v>32</v>
      </c>
      <c r="B10" s="10" t="s">
        <v>33</v>
      </c>
      <c r="C10" s="15">
        <v>78000</v>
      </c>
      <c r="D10" s="15">
        <v>92000</v>
      </c>
      <c r="E10" s="15">
        <v>78000</v>
      </c>
      <c r="F10" s="15">
        <f t="shared" si="0"/>
        <v>92000</v>
      </c>
    </row>
    <row r="11" spans="1:6" x14ac:dyDescent="0.35">
      <c r="A11" s="9" t="s">
        <v>34</v>
      </c>
      <c r="B11" s="10" t="s">
        <v>35</v>
      </c>
      <c r="C11" s="15">
        <v>2450000</v>
      </c>
      <c r="D11" s="15">
        <v>0</v>
      </c>
      <c r="E11" s="15">
        <v>0</v>
      </c>
      <c r="F11" s="15">
        <f t="shared" si="0"/>
        <v>2450000</v>
      </c>
    </row>
    <row r="12" spans="1:6" x14ac:dyDescent="0.35">
      <c r="A12" s="9" t="s">
        <v>36</v>
      </c>
      <c r="B12" s="10" t="s">
        <v>37</v>
      </c>
      <c r="C12" s="15">
        <v>38500000</v>
      </c>
      <c r="D12" s="15">
        <v>0</v>
      </c>
      <c r="E12" s="15">
        <v>0</v>
      </c>
      <c r="F12" s="15">
        <f t="shared" si="0"/>
        <v>38500000</v>
      </c>
    </row>
    <row r="13" spans="1:6" x14ac:dyDescent="0.35">
      <c r="A13" s="9" t="s">
        <v>38</v>
      </c>
      <c r="B13" s="10" t="s">
        <v>39</v>
      </c>
      <c r="C13" s="15">
        <v>1850000</v>
      </c>
      <c r="D13" s="15">
        <v>0</v>
      </c>
      <c r="E13" s="15">
        <v>0</v>
      </c>
      <c r="F13" s="15">
        <f t="shared" si="0"/>
        <v>1850000</v>
      </c>
    </row>
    <row r="14" spans="1:6" x14ac:dyDescent="0.35">
      <c r="A14" s="9" t="s">
        <v>40</v>
      </c>
      <c r="B14" s="10" t="s">
        <v>41</v>
      </c>
      <c r="C14" s="15">
        <v>-8240000</v>
      </c>
      <c r="D14" s="15">
        <v>0</v>
      </c>
      <c r="E14" s="15">
        <v>180000</v>
      </c>
      <c r="F14" s="15">
        <f t="shared" si="0"/>
        <v>-8420000</v>
      </c>
    </row>
    <row r="15" spans="1:6" x14ac:dyDescent="0.35">
      <c r="A15" s="9" t="s">
        <v>43</v>
      </c>
      <c r="B15" s="10" t="s">
        <v>44</v>
      </c>
      <c r="C15" s="15">
        <v>-680000</v>
      </c>
      <c r="D15" s="15">
        <v>540000</v>
      </c>
      <c r="E15" s="15">
        <v>620000</v>
      </c>
      <c r="F15" s="15">
        <f t="shared" si="0"/>
        <v>-760000</v>
      </c>
    </row>
    <row r="16" spans="1:6" x14ac:dyDescent="0.35">
      <c r="A16" s="9" t="s">
        <v>46</v>
      </c>
      <c r="B16" s="10" t="s">
        <v>47</v>
      </c>
      <c r="C16" s="15">
        <v>-125000</v>
      </c>
      <c r="D16" s="15">
        <v>85000</v>
      </c>
      <c r="E16" s="15">
        <v>95000</v>
      </c>
      <c r="F16" s="15">
        <f t="shared" si="0"/>
        <v>-135000</v>
      </c>
    </row>
    <row r="17" spans="1:6" x14ac:dyDescent="0.35">
      <c r="A17" s="9" t="s">
        <v>48</v>
      </c>
      <c r="B17" s="10" t="s">
        <v>49</v>
      </c>
      <c r="C17" s="15">
        <v>-385000</v>
      </c>
      <c r="D17" s="15">
        <v>380000</v>
      </c>
      <c r="E17" s="15">
        <v>425000</v>
      </c>
      <c r="F17" s="15">
        <f t="shared" si="0"/>
        <v>-430000</v>
      </c>
    </row>
    <row r="18" spans="1:6" x14ac:dyDescent="0.35">
      <c r="A18" s="9" t="s">
        <v>50</v>
      </c>
      <c r="B18" s="10" t="s">
        <v>51</v>
      </c>
      <c r="C18" s="15">
        <v>-245000</v>
      </c>
      <c r="D18" s="15">
        <v>198000</v>
      </c>
      <c r="E18" s="15">
        <v>215000</v>
      </c>
      <c r="F18" s="15">
        <f t="shared" si="0"/>
        <v>-262000</v>
      </c>
    </row>
    <row r="19" spans="1:6" x14ac:dyDescent="0.35">
      <c r="A19" s="9" t="s">
        <v>52</v>
      </c>
      <c r="B19" s="10" t="s">
        <v>53</v>
      </c>
      <c r="C19" s="15">
        <v>-180000</v>
      </c>
      <c r="D19" s="15">
        <v>65000</v>
      </c>
      <c r="E19" s="15">
        <v>85000</v>
      </c>
      <c r="F19" s="15">
        <f t="shared" si="0"/>
        <v>-200000</v>
      </c>
    </row>
    <row r="20" spans="1:6" x14ac:dyDescent="0.35">
      <c r="A20" s="9" t="s">
        <v>54</v>
      </c>
      <c r="B20" s="10" t="s">
        <v>55</v>
      </c>
      <c r="C20" s="15">
        <v>-15000000</v>
      </c>
      <c r="D20" s="15">
        <v>0</v>
      </c>
      <c r="E20" s="15">
        <v>0</v>
      </c>
      <c r="F20" s="15">
        <f t="shared" si="0"/>
        <v>-15000000</v>
      </c>
    </row>
    <row r="21" spans="1:6" x14ac:dyDescent="0.35">
      <c r="A21" s="9" t="s">
        <v>57</v>
      </c>
      <c r="B21" s="10" t="s">
        <v>58</v>
      </c>
      <c r="C21" s="15">
        <v>-22580000</v>
      </c>
      <c r="D21" s="15">
        <v>0</v>
      </c>
      <c r="E21" s="15">
        <v>0</v>
      </c>
      <c r="F21" s="15">
        <f t="shared" si="0"/>
        <v>-22580000</v>
      </c>
    </row>
    <row r="22" spans="1:6" x14ac:dyDescent="0.35">
      <c r="A22" s="9" t="s">
        <v>59</v>
      </c>
      <c r="B22" s="10" t="s">
        <v>60</v>
      </c>
      <c r="C22" s="15">
        <v>0</v>
      </c>
      <c r="D22" s="15">
        <v>0</v>
      </c>
      <c r="E22" s="15">
        <v>1275000</v>
      </c>
      <c r="F22" s="15">
        <f t="shared" si="0"/>
        <v>-1275000</v>
      </c>
    </row>
    <row r="23" spans="1:6" x14ac:dyDescent="0.35">
      <c r="A23" s="9" t="s">
        <v>62</v>
      </c>
      <c r="B23" s="10" t="s">
        <v>63</v>
      </c>
      <c r="C23" s="15">
        <v>0</v>
      </c>
      <c r="D23" s="15">
        <v>0</v>
      </c>
      <c r="E23" s="15">
        <v>5130000</v>
      </c>
      <c r="F23" s="15">
        <f t="shared" si="0"/>
        <v>-5130000</v>
      </c>
    </row>
    <row r="24" spans="1:6" x14ac:dyDescent="0.35">
      <c r="A24" s="9" t="s">
        <v>64</v>
      </c>
      <c r="B24" s="10" t="s">
        <v>65</v>
      </c>
      <c r="C24" s="15">
        <v>0</v>
      </c>
      <c r="D24" s="15">
        <v>0</v>
      </c>
      <c r="E24" s="15">
        <v>3220000</v>
      </c>
      <c r="F24" s="15">
        <f t="shared" si="0"/>
        <v>-3220000</v>
      </c>
    </row>
    <row r="25" spans="1:6" x14ac:dyDescent="0.35">
      <c r="A25" s="9" t="s">
        <v>66</v>
      </c>
      <c r="B25" s="10" t="s">
        <v>67</v>
      </c>
      <c r="C25" s="15">
        <v>0</v>
      </c>
      <c r="D25" s="15">
        <v>0</v>
      </c>
      <c r="E25" s="15">
        <v>3105000</v>
      </c>
      <c r="F25" s="15">
        <f t="shared" si="0"/>
        <v>-3105000</v>
      </c>
    </row>
    <row r="26" spans="1:6" x14ac:dyDescent="0.35">
      <c r="A26" s="9" t="s">
        <v>68</v>
      </c>
      <c r="B26" s="10" t="s">
        <v>69</v>
      </c>
      <c r="C26" s="15">
        <v>0</v>
      </c>
      <c r="D26" s="15">
        <v>0</v>
      </c>
      <c r="E26" s="15">
        <v>0</v>
      </c>
      <c r="F26" s="15">
        <f t="shared" si="0"/>
        <v>0</v>
      </c>
    </row>
    <row r="27" spans="1:6" x14ac:dyDescent="0.35">
      <c r="A27" s="9" t="s">
        <v>70</v>
      </c>
      <c r="B27" s="10" t="s">
        <v>71</v>
      </c>
      <c r="C27" s="15">
        <v>0</v>
      </c>
      <c r="D27" s="15">
        <v>0</v>
      </c>
      <c r="E27" s="15">
        <v>685000</v>
      </c>
      <c r="F27" s="15">
        <f t="shared" si="0"/>
        <v>-685000</v>
      </c>
    </row>
    <row r="28" spans="1:6" x14ac:dyDescent="0.35">
      <c r="A28" s="9" t="s">
        <v>72</v>
      </c>
      <c r="B28" s="10" t="s">
        <v>73</v>
      </c>
      <c r="C28" s="15">
        <v>0</v>
      </c>
      <c r="D28" s="15">
        <v>0</v>
      </c>
      <c r="E28" s="15">
        <v>78000</v>
      </c>
      <c r="F28" s="15">
        <f t="shared" si="0"/>
        <v>-78000</v>
      </c>
    </row>
    <row r="29" spans="1:6" x14ac:dyDescent="0.35">
      <c r="A29" s="9" t="s">
        <v>74</v>
      </c>
      <c r="B29" s="10" t="s">
        <v>75</v>
      </c>
      <c r="C29" s="15">
        <v>0</v>
      </c>
      <c r="D29" s="15">
        <v>5480000</v>
      </c>
      <c r="E29" s="15">
        <v>0</v>
      </c>
      <c r="F29" s="15">
        <f t="shared" si="0"/>
        <v>5480000</v>
      </c>
    </row>
    <row r="30" spans="1:6" x14ac:dyDescent="0.35">
      <c r="A30" s="9" t="s">
        <v>77</v>
      </c>
      <c r="B30" s="10" t="s">
        <v>78</v>
      </c>
      <c r="C30" s="15">
        <v>0</v>
      </c>
      <c r="D30" s="15">
        <v>565000</v>
      </c>
      <c r="E30" s="15">
        <v>0</v>
      </c>
      <c r="F30" s="15">
        <f t="shared" si="0"/>
        <v>565000</v>
      </c>
    </row>
    <row r="31" spans="1:6" x14ac:dyDescent="0.35">
      <c r="A31" s="9" t="s">
        <v>79</v>
      </c>
      <c r="B31" s="10" t="s">
        <v>80</v>
      </c>
      <c r="C31" s="15">
        <v>0</v>
      </c>
      <c r="D31" s="15">
        <v>340000</v>
      </c>
      <c r="E31" s="15">
        <v>0</v>
      </c>
      <c r="F31" s="15">
        <f t="shared" si="0"/>
        <v>340000</v>
      </c>
    </row>
    <row r="32" spans="1:6" x14ac:dyDescent="0.35">
      <c r="A32" s="9" t="s">
        <v>81</v>
      </c>
      <c r="B32" s="10" t="s">
        <v>82</v>
      </c>
      <c r="C32" s="15">
        <v>0</v>
      </c>
      <c r="D32" s="15">
        <v>1555000</v>
      </c>
      <c r="E32" s="15">
        <v>0</v>
      </c>
      <c r="F32" s="15">
        <f t="shared" si="0"/>
        <v>1555000</v>
      </c>
    </row>
    <row r="33" spans="1:6" x14ac:dyDescent="0.35">
      <c r="A33" s="9" t="s">
        <v>83</v>
      </c>
      <c r="B33" s="10" t="s">
        <v>84</v>
      </c>
      <c r="C33" s="15">
        <v>0</v>
      </c>
      <c r="D33" s="15">
        <v>158000</v>
      </c>
      <c r="E33" s="15">
        <v>0</v>
      </c>
      <c r="F33" s="15">
        <f t="shared" si="0"/>
        <v>158000</v>
      </c>
    </row>
    <row r="34" spans="1:6" x14ac:dyDescent="0.35">
      <c r="A34" s="9" t="s">
        <v>85</v>
      </c>
      <c r="B34" s="10" t="s">
        <v>86</v>
      </c>
      <c r="C34" s="15">
        <v>0</v>
      </c>
      <c r="D34" s="15">
        <v>180000</v>
      </c>
      <c r="E34" s="15">
        <v>0</v>
      </c>
      <c r="F34" s="15">
        <f t="shared" si="0"/>
        <v>180000</v>
      </c>
    </row>
    <row r="35" spans="1:6" x14ac:dyDescent="0.35">
      <c r="A35" s="9" t="s">
        <v>87</v>
      </c>
      <c r="B35" s="10" t="s">
        <v>88</v>
      </c>
      <c r="C35" s="15">
        <v>0</v>
      </c>
      <c r="D35" s="15">
        <v>562000</v>
      </c>
      <c r="E35" s="15">
        <v>0</v>
      </c>
      <c r="F35" s="15">
        <f t="shared" si="0"/>
        <v>562000</v>
      </c>
    </row>
    <row r="36" spans="1:6" x14ac:dyDescent="0.35">
      <c r="A36" s="9" t="s">
        <v>89</v>
      </c>
      <c r="B36" s="10" t="s">
        <v>90</v>
      </c>
      <c r="C36" s="15">
        <v>0</v>
      </c>
      <c r="D36" s="15">
        <v>348000</v>
      </c>
      <c r="E36" s="15">
        <v>0</v>
      </c>
      <c r="F36" s="15">
        <f t="shared" si="0"/>
        <v>348000</v>
      </c>
    </row>
    <row r="37" spans="1:6" x14ac:dyDescent="0.35">
      <c r="A37" s="9" t="s">
        <v>91</v>
      </c>
      <c r="B37" s="10" t="s">
        <v>92</v>
      </c>
      <c r="C37" s="15">
        <v>0</v>
      </c>
      <c r="D37" s="15">
        <v>175000</v>
      </c>
      <c r="E37" s="15">
        <v>0</v>
      </c>
      <c r="F37" s="15">
        <f t="shared" si="0"/>
        <v>175000</v>
      </c>
    </row>
    <row r="38" spans="1:6" x14ac:dyDescent="0.35">
      <c r="A38" s="9" t="s">
        <v>93</v>
      </c>
      <c r="B38" s="10" t="s">
        <v>94</v>
      </c>
      <c r="C38" s="15">
        <v>0</v>
      </c>
      <c r="D38" s="15">
        <v>142000</v>
      </c>
      <c r="E38" s="15">
        <v>0</v>
      </c>
      <c r="F38" s="15">
        <f t="shared" si="0"/>
        <v>142000</v>
      </c>
    </row>
    <row r="39" spans="1:6" x14ac:dyDescent="0.35">
      <c r="A39" s="9" t="s">
        <v>95</v>
      </c>
      <c r="B39" s="10" t="s">
        <v>96</v>
      </c>
      <c r="C39" s="15">
        <v>0</v>
      </c>
      <c r="D39" s="15">
        <v>95000</v>
      </c>
      <c r="E39" s="15">
        <v>0</v>
      </c>
      <c r="F39" s="15">
        <f t="shared" si="0"/>
        <v>95000</v>
      </c>
    </row>
    <row r="40" spans="1:6" x14ac:dyDescent="0.35">
      <c r="A40" s="9" t="s">
        <v>97</v>
      </c>
      <c r="B40" s="10" t="s">
        <v>98</v>
      </c>
      <c r="C40" s="15">
        <v>0</v>
      </c>
      <c r="D40" s="15">
        <v>415000</v>
      </c>
      <c r="E40" s="15">
        <v>0</v>
      </c>
      <c r="F40" s="15">
        <f t="shared" si="0"/>
        <v>415000</v>
      </c>
    </row>
    <row r="41" spans="1:6" x14ac:dyDescent="0.35">
      <c r="A41" s="9" t="s">
        <v>99</v>
      </c>
      <c r="B41" s="10" t="s">
        <v>100</v>
      </c>
      <c r="C41" s="15">
        <v>0</v>
      </c>
      <c r="D41" s="15">
        <v>360000</v>
      </c>
      <c r="E41" s="15">
        <v>0</v>
      </c>
      <c r="F41" s="15">
        <f t="shared" si="0"/>
        <v>360000</v>
      </c>
    </row>
    <row r="42" spans="1:6" x14ac:dyDescent="0.35">
      <c r="A42" s="9" t="s">
        <v>101</v>
      </c>
      <c r="B42" s="10" t="s">
        <v>102</v>
      </c>
      <c r="C42" s="15">
        <v>0</v>
      </c>
      <c r="D42" s="15">
        <v>145000</v>
      </c>
      <c r="E42" s="15">
        <v>0</v>
      </c>
      <c r="F42" s="15">
        <f t="shared" si="0"/>
        <v>145000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2"/>
  <sheetViews>
    <sheetView showGridLines="0" zoomScaleNormal="100" workbookViewId="0">
      <pane ySplit="5" topLeftCell="A6" activePane="bottomLeft" state="frozen"/>
      <selection pane="bottomLeft" activeCell="D32" sqref="D32"/>
    </sheetView>
  </sheetViews>
  <sheetFormatPr defaultColWidth="8.6328125" defaultRowHeight="14.5" x14ac:dyDescent="0.35"/>
  <cols>
    <col min="1" max="1" width="12" customWidth="1"/>
    <col min="2" max="2" width="48" customWidth="1"/>
    <col min="3" max="6" width="16" customWidth="1"/>
  </cols>
  <sheetData>
    <row r="1" spans="1:6" ht="18" x14ac:dyDescent="0.4">
      <c r="A1" s="12" t="s">
        <v>103</v>
      </c>
    </row>
    <row r="2" spans="1:6" x14ac:dyDescent="0.35">
      <c r="A2" s="13" t="s">
        <v>110</v>
      </c>
    </row>
    <row r="3" spans="1:6" x14ac:dyDescent="0.35">
      <c r="A3" s="14" t="s">
        <v>105</v>
      </c>
    </row>
    <row r="5" spans="1:6" ht="26" x14ac:dyDescent="0.35">
      <c r="A5" s="8" t="s">
        <v>18</v>
      </c>
      <c r="B5" s="8" t="s">
        <v>19</v>
      </c>
      <c r="C5" s="8" t="s">
        <v>106</v>
      </c>
      <c r="D5" s="8" t="s">
        <v>107</v>
      </c>
      <c r="E5" s="8" t="s">
        <v>108</v>
      </c>
      <c r="F5" s="8" t="s">
        <v>109</v>
      </c>
    </row>
    <row r="6" spans="1:6" x14ac:dyDescent="0.35">
      <c r="A6" s="9" t="s">
        <v>22</v>
      </c>
      <c r="B6" s="10" t="s">
        <v>23</v>
      </c>
      <c r="C6" s="15">
        <v>5280000</v>
      </c>
      <c r="D6" s="15">
        <v>6180000</v>
      </c>
      <c r="E6" s="15">
        <v>5945000</v>
      </c>
      <c r="F6" s="15">
        <f t="shared" ref="F6:F42" si="0">C6+D6-E6</f>
        <v>5515000</v>
      </c>
    </row>
    <row r="7" spans="1:6" x14ac:dyDescent="0.35">
      <c r="A7" s="9" t="s">
        <v>26</v>
      </c>
      <c r="B7" s="10" t="s">
        <v>27</v>
      </c>
      <c r="C7" s="15">
        <v>1320000</v>
      </c>
      <c r="D7" s="15">
        <v>6385000</v>
      </c>
      <c r="E7" s="15">
        <v>6215000</v>
      </c>
      <c r="F7" s="15">
        <f t="shared" si="0"/>
        <v>1490000</v>
      </c>
    </row>
    <row r="8" spans="1:6" x14ac:dyDescent="0.35">
      <c r="A8" s="9" t="s">
        <v>28</v>
      </c>
      <c r="B8" s="10" t="s">
        <v>29</v>
      </c>
      <c r="C8" s="15">
        <v>91000</v>
      </c>
      <c r="D8" s="15">
        <v>35000</v>
      </c>
      <c r="E8" s="15">
        <v>28000</v>
      </c>
      <c r="F8" s="15">
        <f t="shared" si="0"/>
        <v>98000</v>
      </c>
    </row>
    <row r="9" spans="1:6" x14ac:dyDescent="0.35">
      <c r="A9" s="9" t="s">
        <v>30</v>
      </c>
      <c r="B9" s="10" t="s">
        <v>31</v>
      </c>
      <c r="C9" s="15">
        <v>160000</v>
      </c>
      <c r="D9" s="15">
        <v>160000</v>
      </c>
      <c r="E9" s="15">
        <v>175000</v>
      </c>
      <c r="F9" s="15">
        <f t="shared" si="0"/>
        <v>145000</v>
      </c>
    </row>
    <row r="10" spans="1:6" x14ac:dyDescent="0.35">
      <c r="A10" s="9" t="s">
        <v>32</v>
      </c>
      <c r="B10" s="10" t="s">
        <v>33</v>
      </c>
      <c r="C10" s="15">
        <v>92000</v>
      </c>
      <c r="D10" s="15">
        <v>88000</v>
      </c>
      <c r="E10" s="15">
        <v>88000</v>
      </c>
      <c r="F10" s="15">
        <f t="shared" si="0"/>
        <v>92000</v>
      </c>
    </row>
    <row r="11" spans="1:6" x14ac:dyDescent="0.35">
      <c r="A11" s="9" t="s">
        <v>34</v>
      </c>
      <c r="B11" s="10" t="s">
        <v>35</v>
      </c>
      <c r="C11" s="15">
        <v>2450000</v>
      </c>
      <c r="D11" s="15">
        <v>0</v>
      </c>
      <c r="E11" s="15">
        <v>0</v>
      </c>
      <c r="F11" s="15">
        <f t="shared" si="0"/>
        <v>2450000</v>
      </c>
    </row>
    <row r="12" spans="1:6" x14ac:dyDescent="0.35">
      <c r="A12" s="9" t="s">
        <v>36</v>
      </c>
      <c r="B12" s="10" t="s">
        <v>37</v>
      </c>
      <c r="C12" s="15">
        <v>38500000</v>
      </c>
      <c r="D12" s="15">
        <v>0</v>
      </c>
      <c r="E12" s="15">
        <v>0</v>
      </c>
      <c r="F12" s="15">
        <f t="shared" si="0"/>
        <v>38500000</v>
      </c>
    </row>
    <row r="13" spans="1:6" x14ac:dyDescent="0.35">
      <c r="A13" s="9" t="s">
        <v>38</v>
      </c>
      <c r="B13" s="10" t="s">
        <v>39</v>
      </c>
      <c r="C13" s="15">
        <v>1850000</v>
      </c>
      <c r="D13" s="15">
        <v>0</v>
      </c>
      <c r="E13" s="15">
        <v>0</v>
      </c>
      <c r="F13" s="15">
        <f t="shared" si="0"/>
        <v>1850000</v>
      </c>
    </row>
    <row r="14" spans="1:6" x14ac:dyDescent="0.35">
      <c r="A14" s="9" t="s">
        <v>40</v>
      </c>
      <c r="B14" s="10" t="s">
        <v>41</v>
      </c>
      <c r="C14" s="15">
        <v>-8420000</v>
      </c>
      <c r="D14" s="15">
        <v>0</v>
      </c>
      <c r="E14" s="15">
        <v>180000</v>
      </c>
      <c r="F14" s="15">
        <f t="shared" si="0"/>
        <v>-8600000</v>
      </c>
    </row>
    <row r="15" spans="1:6" x14ac:dyDescent="0.35">
      <c r="A15" s="9" t="s">
        <v>43</v>
      </c>
      <c r="B15" s="10" t="s">
        <v>44</v>
      </c>
      <c r="C15" s="15">
        <v>-760000</v>
      </c>
      <c r="D15" s="15">
        <v>565000</v>
      </c>
      <c r="E15" s="15">
        <v>645000</v>
      </c>
      <c r="F15" s="15">
        <f t="shared" si="0"/>
        <v>-840000</v>
      </c>
    </row>
    <row r="16" spans="1:6" x14ac:dyDescent="0.35">
      <c r="A16" s="9" t="s">
        <v>46</v>
      </c>
      <c r="B16" s="10" t="s">
        <v>47</v>
      </c>
      <c r="C16" s="15">
        <v>-135000</v>
      </c>
      <c r="D16" s="15">
        <v>78000</v>
      </c>
      <c r="E16" s="15">
        <v>92000</v>
      </c>
      <c r="F16" s="15">
        <f t="shared" si="0"/>
        <v>-149000</v>
      </c>
    </row>
    <row r="17" spans="1:6" x14ac:dyDescent="0.35">
      <c r="A17" s="9" t="s">
        <v>48</v>
      </c>
      <c r="B17" s="10" t="s">
        <v>49</v>
      </c>
      <c r="C17" s="15">
        <v>-430000</v>
      </c>
      <c r="D17" s="15">
        <v>398000</v>
      </c>
      <c r="E17" s="15">
        <v>442000</v>
      </c>
      <c r="F17" s="15">
        <f t="shared" si="0"/>
        <v>-474000</v>
      </c>
    </row>
    <row r="18" spans="1:6" x14ac:dyDescent="0.35">
      <c r="A18" s="9" t="s">
        <v>50</v>
      </c>
      <c r="B18" s="10" t="s">
        <v>51</v>
      </c>
      <c r="C18" s="15">
        <v>-262000</v>
      </c>
      <c r="D18" s="15">
        <v>205000</v>
      </c>
      <c r="E18" s="15">
        <v>228000</v>
      </c>
      <c r="F18" s="15">
        <f t="shared" si="0"/>
        <v>-285000</v>
      </c>
    </row>
    <row r="19" spans="1:6" x14ac:dyDescent="0.35">
      <c r="A19" s="9" t="s">
        <v>52</v>
      </c>
      <c r="B19" s="10" t="s">
        <v>53</v>
      </c>
      <c r="C19" s="15">
        <v>-200000</v>
      </c>
      <c r="D19" s="15">
        <v>72000</v>
      </c>
      <c r="E19" s="15">
        <v>95000</v>
      </c>
      <c r="F19" s="15">
        <f t="shared" si="0"/>
        <v>-223000</v>
      </c>
    </row>
    <row r="20" spans="1:6" x14ac:dyDescent="0.35">
      <c r="A20" s="9" t="s">
        <v>54</v>
      </c>
      <c r="B20" s="10" t="s">
        <v>55</v>
      </c>
      <c r="C20" s="15">
        <v>-15000000</v>
      </c>
      <c r="D20" s="15">
        <v>0</v>
      </c>
      <c r="E20" s="15">
        <v>0</v>
      </c>
      <c r="F20" s="15">
        <f t="shared" si="0"/>
        <v>-15000000</v>
      </c>
    </row>
    <row r="21" spans="1:6" x14ac:dyDescent="0.35">
      <c r="A21" s="9" t="s">
        <v>57</v>
      </c>
      <c r="B21" s="10" t="s">
        <v>58</v>
      </c>
      <c r="C21" s="15">
        <v>-22580000</v>
      </c>
      <c r="D21" s="15">
        <v>0</v>
      </c>
      <c r="E21" s="15">
        <v>0</v>
      </c>
      <c r="F21" s="15">
        <f t="shared" si="0"/>
        <v>-22580000</v>
      </c>
    </row>
    <row r="22" spans="1:6" x14ac:dyDescent="0.35">
      <c r="A22" s="9" t="s">
        <v>59</v>
      </c>
      <c r="B22" s="10" t="s">
        <v>60</v>
      </c>
      <c r="C22" s="15">
        <v>-1275000</v>
      </c>
      <c r="D22" s="15">
        <v>0</v>
      </c>
      <c r="E22" s="15">
        <v>637500</v>
      </c>
      <c r="F22" s="15">
        <f t="shared" si="0"/>
        <v>-1912500</v>
      </c>
    </row>
    <row r="23" spans="1:6" x14ac:dyDescent="0.35">
      <c r="A23" s="9" t="s">
        <v>62</v>
      </c>
      <c r="B23" s="10" t="s">
        <v>63</v>
      </c>
      <c r="C23" s="15">
        <v>-5130000</v>
      </c>
      <c r="D23" s="15">
        <v>0</v>
      </c>
      <c r="E23" s="15">
        <v>2565000</v>
      </c>
      <c r="F23" s="15">
        <f t="shared" si="0"/>
        <v>-7695000</v>
      </c>
    </row>
    <row r="24" spans="1:6" x14ac:dyDescent="0.35">
      <c r="A24" s="9" t="s">
        <v>64</v>
      </c>
      <c r="B24" s="10" t="s">
        <v>65</v>
      </c>
      <c r="C24" s="15">
        <v>-3220000</v>
      </c>
      <c r="D24" s="15">
        <v>0</v>
      </c>
      <c r="E24" s="15">
        <v>1565000</v>
      </c>
      <c r="F24" s="15">
        <f t="shared" si="0"/>
        <v>-4785000</v>
      </c>
    </row>
    <row r="25" spans="1:6" x14ac:dyDescent="0.35">
      <c r="A25" s="9" t="s">
        <v>66</v>
      </c>
      <c r="B25" s="10" t="s">
        <v>67</v>
      </c>
      <c r="C25" s="15">
        <v>-3105000</v>
      </c>
      <c r="D25" s="15">
        <v>0</v>
      </c>
      <c r="E25" s="15">
        <v>1552500</v>
      </c>
      <c r="F25" s="15">
        <f t="shared" si="0"/>
        <v>-4657500</v>
      </c>
    </row>
    <row r="26" spans="1:6" x14ac:dyDescent="0.35">
      <c r="A26" s="9" t="s">
        <v>68</v>
      </c>
      <c r="B26" s="10" t="s">
        <v>69</v>
      </c>
      <c r="C26" s="15">
        <v>0</v>
      </c>
      <c r="D26" s="15">
        <v>0</v>
      </c>
      <c r="E26" s="15">
        <v>0</v>
      </c>
      <c r="F26" s="15">
        <f t="shared" si="0"/>
        <v>0</v>
      </c>
    </row>
    <row r="27" spans="1:6" x14ac:dyDescent="0.35">
      <c r="A27" s="9" t="s">
        <v>70</v>
      </c>
      <c r="B27" s="10" t="s">
        <v>71</v>
      </c>
      <c r="C27" s="15">
        <v>-685000</v>
      </c>
      <c r="D27" s="15">
        <v>0</v>
      </c>
      <c r="E27" s="15">
        <v>395000</v>
      </c>
      <c r="F27" s="15">
        <f t="shared" si="0"/>
        <v>-1080000</v>
      </c>
    </row>
    <row r="28" spans="1:6" x14ac:dyDescent="0.35">
      <c r="A28" s="9" t="s">
        <v>72</v>
      </c>
      <c r="B28" s="10" t="s">
        <v>73</v>
      </c>
      <c r="C28" s="15">
        <v>-78000</v>
      </c>
      <c r="D28" s="15">
        <v>0</v>
      </c>
      <c r="E28" s="15">
        <v>42000</v>
      </c>
      <c r="F28" s="15">
        <f t="shared" si="0"/>
        <v>-120000</v>
      </c>
    </row>
    <row r="29" spans="1:6" x14ac:dyDescent="0.35">
      <c r="A29" s="9" t="s">
        <v>74</v>
      </c>
      <c r="B29" s="10" t="s">
        <v>75</v>
      </c>
      <c r="C29" s="15">
        <v>5480000</v>
      </c>
      <c r="D29" s="15">
        <v>2750000</v>
      </c>
      <c r="E29" s="15">
        <v>0</v>
      </c>
      <c r="F29" s="15">
        <f t="shared" si="0"/>
        <v>8230000</v>
      </c>
    </row>
    <row r="30" spans="1:6" x14ac:dyDescent="0.35">
      <c r="A30" s="9" t="s">
        <v>77</v>
      </c>
      <c r="B30" s="10" t="s">
        <v>78</v>
      </c>
      <c r="C30" s="15">
        <v>565000</v>
      </c>
      <c r="D30" s="15">
        <v>285000</v>
      </c>
      <c r="E30" s="15">
        <v>0</v>
      </c>
      <c r="F30" s="15">
        <f t="shared" si="0"/>
        <v>850000</v>
      </c>
    </row>
    <row r="31" spans="1:6" x14ac:dyDescent="0.35">
      <c r="A31" s="9" t="s">
        <v>79</v>
      </c>
      <c r="B31" s="10" t="s">
        <v>80</v>
      </c>
      <c r="C31" s="15">
        <v>340000</v>
      </c>
      <c r="D31" s="15">
        <v>170000</v>
      </c>
      <c r="E31" s="15">
        <v>0</v>
      </c>
      <c r="F31" s="15">
        <f t="shared" si="0"/>
        <v>510000</v>
      </c>
    </row>
    <row r="32" spans="1:6" x14ac:dyDescent="0.35">
      <c r="A32" s="9" t="s">
        <v>81</v>
      </c>
      <c r="B32" s="10" t="s">
        <v>82</v>
      </c>
      <c r="C32" s="15">
        <v>1555000</v>
      </c>
      <c r="D32" s="15">
        <v>780000</v>
      </c>
      <c r="E32" s="15">
        <v>0</v>
      </c>
      <c r="F32" s="15">
        <f t="shared" si="0"/>
        <v>2335000</v>
      </c>
    </row>
    <row r="33" spans="1:6" x14ac:dyDescent="0.35">
      <c r="A33" s="9" t="s">
        <v>83</v>
      </c>
      <c r="B33" s="10" t="s">
        <v>84</v>
      </c>
      <c r="C33" s="15">
        <v>158000</v>
      </c>
      <c r="D33" s="15">
        <v>82000</v>
      </c>
      <c r="E33" s="15">
        <v>0</v>
      </c>
      <c r="F33" s="15">
        <f t="shared" si="0"/>
        <v>240000</v>
      </c>
    </row>
    <row r="34" spans="1:6" x14ac:dyDescent="0.35">
      <c r="A34" s="9" t="s">
        <v>85</v>
      </c>
      <c r="B34" s="10" t="s">
        <v>86</v>
      </c>
      <c r="C34" s="15">
        <v>180000</v>
      </c>
      <c r="D34" s="15">
        <v>92000</v>
      </c>
      <c r="E34" s="15">
        <v>0</v>
      </c>
      <c r="F34" s="15">
        <f t="shared" si="0"/>
        <v>272000</v>
      </c>
    </row>
    <row r="35" spans="1:6" x14ac:dyDescent="0.35">
      <c r="A35" s="9" t="s">
        <v>87</v>
      </c>
      <c r="B35" s="10" t="s">
        <v>88</v>
      </c>
      <c r="C35" s="15">
        <v>562000</v>
      </c>
      <c r="D35" s="15">
        <v>385000</v>
      </c>
      <c r="E35" s="15">
        <v>0</v>
      </c>
      <c r="F35" s="15">
        <f t="shared" si="0"/>
        <v>947000</v>
      </c>
    </row>
    <row r="36" spans="1:6" x14ac:dyDescent="0.35">
      <c r="A36" s="9" t="s">
        <v>89</v>
      </c>
      <c r="B36" s="10" t="s">
        <v>90</v>
      </c>
      <c r="C36" s="15">
        <v>348000</v>
      </c>
      <c r="D36" s="15">
        <v>208500</v>
      </c>
      <c r="E36" s="15">
        <v>0</v>
      </c>
      <c r="F36" s="15">
        <f t="shared" si="0"/>
        <v>556500</v>
      </c>
    </row>
    <row r="37" spans="1:6" x14ac:dyDescent="0.35">
      <c r="A37" s="9" t="s">
        <v>91</v>
      </c>
      <c r="B37" s="10" t="s">
        <v>92</v>
      </c>
      <c r="C37" s="15">
        <v>175000</v>
      </c>
      <c r="D37" s="15">
        <v>98000</v>
      </c>
      <c r="E37" s="15">
        <v>0</v>
      </c>
      <c r="F37" s="15">
        <f t="shared" si="0"/>
        <v>273000</v>
      </c>
    </row>
    <row r="38" spans="1:6" x14ac:dyDescent="0.35">
      <c r="A38" s="9" t="s">
        <v>93</v>
      </c>
      <c r="B38" s="10" t="s">
        <v>94</v>
      </c>
      <c r="C38" s="15">
        <v>142000</v>
      </c>
      <c r="D38" s="15">
        <v>75000</v>
      </c>
      <c r="E38" s="15">
        <v>0</v>
      </c>
      <c r="F38" s="15">
        <f t="shared" si="0"/>
        <v>217000</v>
      </c>
    </row>
    <row r="39" spans="1:6" x14ac:dyDescent="0.35">
      <c r="A39" s="9" t="s">
        <v>95</v>
      </c>
      <c r="B39" s="10" t="s">
        <v>96</v>
      </c>
      <c r="C39" s="15">
        <v>95000</v>
      </c>
      <c r="D39" s="15">
        <v>78000</v>
      </c>
      <c r="E39" s="15">
        <v>0</v>
      </c>
      <c r="F39" s="15">
        <f t="shared" si="0"/>
        <v>173000</v>
      </c>
    </row>
    <row r="40" spans="1:6" x14ac:dyDescent="0.35">
      <c r="A40" s="9" t="s">
        <v>97</v>
      </c>
      <c r="B40" s="10" t="s">
        <v>98</v>
      </c>
      <c r="C40" s="15">
        <v>415000</v>
      </c>
      <c r="D40" s="15">
        <v>215000</v>
      </c>
      <c r="E40" s="15">
        <v>0</v>
      </c>
      <c r="F40" s="15">
        <f t="shared" si="0"/>
        <v>630000</v>
      </c>
    </row>
    <row r="41" spans="1:6" x14ac:dyDescent="0.35">
      <c r="A41" s="9" t="s">
        <v>99</v>
      </c>
      <c r="B41" s="10" t="s">
        <v>100</v>
      </c>
      <c r="C41" s="15">
        <v>360000</v>
      </c>
      <c r="D41" s="15">
        <v>180000</v>
      </c>
      <c r="E41" s="15">
        <v>0</v>
      </c>
      <c r="F41" s="15">
        <f t="shared" si="0"/>
        <v>540000</v>
      </c>
    </row>
    <row r="42" spans="1:6" x14ac:dyDescent="0.35">
      <c r="A42" s="9" t="s">
        <v>101</v>
      </c>
      <c r="B42" s="10" t="s">
        <v>102</v>
      </c>
      <c r="C42" s="15">
        <v>145000</v>
      </c>
      <c r="D42" s="15">
        <v>103500</v>
      </c>
      <c r="E42" s="15">
        <v>0</v>
      </c>
      <c r="F42" s="15">
        <f t="shared" si="0"/>
        <v>248500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5"/>
  <sheetViews>
    <sheetView showGridLines="0" topLeftCell="A32" zoomScaleNormal="100" workbookViewId="0"/>
  </sheetViews>
  <sheetFormatPr defaultColWidth="8.6328125" defaultRowHeight="14.5" x14ac:dyDescent="0.35"/>
  <cols>
    <col min="1" max="1" width="28" customWidth="1"/>
    <col min="2" max="2" width="30" customWidth="1"/>
    <col min="3" max="5" width="18" customWidth="1"/>
    <col min="6" max="6" width="16" customWidth="1"/>
  </cols>
  <sheetData>
    <row r="1" spans="1:5" ht="18" x14ac:dyDescent="0.4">
      <c r="A1" s="12" t="s">
        <v>103</v>
      </c>
    </row>
    <row r="2" spans="1:5" x14ac:dyDescent="0.35">
      <c r="A2" s="13" t="s">
        <v>111</v>
      </c>
    </row>
    <row r="3" spans="1:5" x14ac:dyDescent="0.35">
      <c r="A3" s="14" t="s">
        <v>112</v>
      </c>
    </row>
    <row r="5" spans="1:5" x14ac:dyDescent="0.35">
      <c r="A5" s="16" t="s">
        <v>113</v>
      </c>
    </row>
    <row r="6" spans="1:5" x14ac:dyDescent="0.35">
      <c r="A6" s="8" t="s">
        <v>114</v>
      </c>
      <c r="B6" s="8" t="s">
        <v>115</v>
      </c>
      <c r="C6" s="8" t="s">
        <v>116</v>
      </c>
      <c r="D6" s="8" t="s">
        <v>117</v>
      </c>
      <c r="E6" s="8" t="s">
        <v>118</v>
      </c>
    </row>
    <row r="7" spans="1:5" x14ac:dyDescent="0.35">
      <c r="A7" s="10" t="s">
        <v>119</v>
      </c>
      <c r="B7" s="10" t="s">
        <v>120</v>
      </c>
      <c r="C7" s="17">
        <v>28</v>
      </c>
      <c r="D7" s="17">
        <v>35</v>
      </c>
      <c r="E7" s="18">
        <f t="shared" ref="E7:E22" si="0">C7/D7</f>
        <v>0.8</v>
      </c>
    </row>
    <row r="8" spans="1:5" x14ac:dyDescent="0.35">
      <c r="A8" s="10" t="s">
        <v>119</v>
      </c>
      <c r="B8" s="10" t="s">
        <v>121</v>
      </c>
      <c r="C8" s="17">
        <v>30</v>
      </c>
      <c r="D8" s="17">
        <v>35</v>
      </c>
      <c r="E8" s="18">
        <f t="shared" si="0"/>
        <v>0.8571428571428571</v>
      </c>
    </row>
    <row r="9" spans="1:5" x14ac:dyDescent="0.35">
      <c r="A9" s="10" t="s">
        <v>119</v>
      </c>
      <c r="B9" s="10" t="s">
        <v>122</v>
      </c>
      <c r="C9" s="17">
        <v>27</v>
      </c>
      <c r="D9" s="17">
        <v>35</v>
      </c>
      <c r="E9" s="18">
        <f t="shared" si="0"/>
        <v>0.77142857142857146</v>
      </c>
    </row>
    <row r="10" spans="1:5" x14ac:dyDescent="0.35">
      <c r="A10" s="10" t="s">
        <v>123</v>
      </c>
      <c r="B10" s="10" t="s">
        <v>124</v>
      </c>
      <c r="C10" s="17">
        <v>48</v>
      </c>
      <c r="D10" s="17">
        <v>60</v>
      </c>
      <c r="E10" s="18">
        <f t="shared" si="0"/>
        <v>0.8</v>
      </c>
    </row>
    <row r="11" spans="1:5" x14ac:dyDescent="0.35">
      <c r="A11" s="10" t="s">
        <v>123</v>
      </c>
      <c r="B11" s="10" t="s">
        <v>125</v>
      </c>
      <c r="C11" s="17">
        <v>45</v>
      </c>
      <c r="D11" s="17">
        <v>60</v>
      </c>
      <c r="E11" s="18">
        <f t="shared" si="0"/>
        <v>0.75</v>
      </c>
    </row>
    <row r="12" spans="1:5" x14ac:dyDescent="0.35">
      <c r="A12" s="10" t="s">
        <v>123</v>
      </c>
      <c r="B12" s="10" t="s">
        <v>126</v>
      </c>
      <c r="C12" s="17">
        <v>47</v>
      </c>
      <c r="D12" s="17">
        <v>60</v>
      </c>
      <c r="E12" s="18">
        <f t="shared" si="0"/>
        <v>0.78333333333333333</v>
      </c>
    </row>
    <row r="13" spans="1:5" x14ac:dyDescent="0.35">
      <c r="A13" s="10" t="s">
        <v>123</v>
      </c>
      <c r="B13" s="10" t="s">
        <v>127</v>
      </c>
      <c r="C13" s="17">
        <v>44</v>
      </c>
      <c r="D13" s="17">
        <v>60</v>
      </c>
      <c r="E13" s="18">
        <f t="shared" si="0"/>
        <v>0.73333333333333328</v>
      </c>
    </row>
    <row r="14" spans="1:5" x14ac:dyDescent="0.35">
      <c r="A14" s="10" t="s">
        <v>123</v>
      </c>
      <c r="B14" s="10" t="s">
        <v>128</v>
      </c>
      <c r="C14" s="17">
        <v>46</v>
      </c>
      <c r="D14" s="17">
        <v>60</v>
      </c>
      <c r="E14" s="18">
        <f t="shared" si="0"/>
        <v>0.76666666666666672</v>
      </c>
    </row>
    <row r="15" spans="1:5" x14ac:dyDescent="0.35">
      <c r="A15" s="10" t="s">
        <v>123</v>
      </c>
      <c r="B15" s="10" t="s">
        <v>129</v>
      </c>
      <c r="C15" s="17">
        <v>40</v>
      </c>
      <c r="D15" s="17">
        <v>60</v>
      </c>
      <c r="E15" s="18">
        <f t="shared" si="0"/>
        <v>0.66666666666666663</v>
      </c>
    </row>
    <row r="16" spans="1:5" x14ac:dyDescent="0.35">
      <c r="A16" s="10" t="s">
        <v>130</v>
      </c>
      <c r="B16" s="10" t="s">
        <v>131</v>
      </c>
      <c r="C16" s="17">
        <v>50</v>
      </c>
      <c r="D16" s="17">
        <v>60</v>
      </c>
      <c r="E16" s="18">
        <f t="shared" si="0"/>
        <v>0.83333333333333337</v>
      </c>
    </row>
    <row r="17" spans="1:6" x14ac:dyDescent="0.35">
      <c r="A17" s="10" t="s">
        <v>130</v>
      </c>
      <c r="B17" s="10" t="s">
        <v>132</v>
      </c>
      <c r="C17" s="17">
        <v>48</v>
      </c>
      <c r="D17" s="17">
        <v>60</v>
      </c>
      <c r="E17" s="18">
        <f t="shared" si="0"/>
        <v>0.8</v>
      </c>
    </row>
    <row r="18" spans="1:6" x14ac:dyDescent="0.35">
      <c r="A18" s="10" t="s">
        <v>130</v>
      </c>
      <c r="B18" s="10" t="s">
        <v>133</v>
      </c>
      <c r="C18" s="17">
        <v>42</v>
      </c>
      <c r="D18" s="17">
        <v>60</v>
      </c>
      <c r="E18" s="18">
        <f t="shared" si="0"/>
        <v>0.7</v>
      </c>
    </row>
    <row r="19" spans="1:6" x14ac:dyDescent="0.35">
      <c r="A19" s="10" t="s">
        <v>134</v>
      </c>
      <c r="B19" s="10" t="s">
        <v>135</v>
      </c>
      <c r="C19" s="17">
        <v>42</v>
      </c>
      <c r="D19" s="17">
        <v>50</v>
      </c>
      <c r="E19" s="18">
        <f t="shared" si="0"/>
        <v>0.84</v>
      </c>
    </row>
    <row r="20" spans="1:6" x14ac:dyDescent="0.35">
      <c r="A20" s="10" t="s">
        <v>134</v>
      </c>
      <c r="B20" s="10" t="s">
        <v>136</v>
      </c>
      <c r="C20" s="17">
        <v>38</v>
      </c>
      <c r="D20" s="17">
        <v>50</v>
      </c>
      <c r="E20" s="18">
        <f t="shared" si="0"/>
        <v>0.76</v>
      </c>
    </row>
    <row r="21" spans="1:6" x14ac:dyDescent="0.35">
      <c r="A21" s="10" t="s">
        <v>134</v>
      </c>
      <c r="B21" s="10" t="s">
        <v>137</v>
      </c>
      <c r="C21" s="17">
        <v>35</v>
      </c>
      <c r="D21" s="17">
        <v>50</v>
      </c>
      <c r="E21" s="18">
        <f t="shared" si="0"/>
        <v>0.7</v>
      </c>
    </row>
    <row r="22" spans="1:6" x14ac:dyDescent="0.35">
      <c r="A22" s="19" t="s">
        <v>138</v>
      </c>
      <c r="B22" s="19"/>
      <c r="C22" s="20">
        <f>SUM(C7:C21)</f>
        <v>610</v>
      </c>
      <c r="D22" s="20">
        <f>SUM(D7:D21)</f>
        <v>795</v>
      </c>
      <c r="E22" s="21">
        <f t="shared" si="0"/>
        <v>0.76729559748427678</v>
      </c>
    </row>
    <row r="25" spans="1:6" x14ac:dyDescent="0.35">
      <c r="A25" s="16" t="s">
        <v>139</v>
      </c>
    </row>
    <row r="26" spans="1:6" x14ac:dyDescent="0.35">
      <c r="A26" s="8" t="s">
        <v>114</v>
      </c>
      <c r="B26" s="8" t="s">
        <v>140</v>
      </c>
      <c r="C26" s="8" t="s">
        <v>141</v>
      </c>
      <c r="D26" s="8" t="s">
        <v>142</v>
      </c>
      <c r="E26" s="8" t="s">
        <v>143</v>
      </c>
      <c r="F26" s="8" t="s">
        <v>144</v>
      </c>
    </row>
    <row r="27" spans="1:6" x14ac:dyDescent="0.35">
      <c r="A27" s="10" t="s">
        <v>119</v>
      </c>
      <c r="B27" s="17">
        <v>85</v>
      </c>
      <c r="C27" s="22">
        <v>7500</v>
      </c>
      <c r="D27" s="22">
        <v>637500</v>
      </c>
      <c r="E27" s="22">
        <v>612000</v>
      </c>
      <c r="F27" s="18">
        <f>E27/D27</f>
        <v>0.96</v>
      </c>
    </row>
    <row r="28" spans="1:6" x14ac:dyDescent="0.35">
      <c r="A28" s="10" t="s">
        <v>123</v>
      </c>
      <c r="B28" s="17">
        <v>270</v>
      </c>
      <c r="C28" s="22">
        <v>9500</v>
      </c>
      <c r="D28" s="22">
        <v>2565000</v>
      </c>
      <c r="E28" s="22">
        <v>2385000</v>
      </c>
      <c r="F28" s="18">
        <f>E28/D28</f>
        <v>0.92982456140350878</v>
      </c>
    </row>
    <row r="29" spans="1:6" x14ac:dyDescent="0.35">
      <c r="A29" s="10" t="s">
        <v>130</v>
      </c>
      <c r="B29" s="17">
        <v>140</v>
      </c>
      <c r="C29" s="22">
        <v>11500</v>
      </c>
      <c r="D29" s="22">
        <v>1610000</v>
      </c>
      <c r="E29" s="22">
        <v>1478000</v>
      </c>
      <c r="F29" s="18">
        <f>E29/D29</f>
        <v>0.91801242236024849</v>
      </c>
    </row>
    <row r="30" spans="1:6" x14ac:dyDescent="0.35">
      <c r="A30" s="10" t="s">
        <v>134</v>
      </c>
      <c r="B30" s="17">
        <v>115</v>
      </c>
      <c r="C30" s="22">
        <v>13500</v>
      </c>
      <c r="D30" s="22">
        <v>1552500</v>
      </c>
      <c r="E30" s="22">
        <v>1475000</v>
      </c>
      <c r="F30" s="18">
        <f>E30/D30</f>
        <v>0.9500805152979066</v>
      </c>
    </row>
    <row r="31" spans="1:6" x14ac:dyDescent="0.35">
      <c r="A31" s="19" t="s">
        <v>138</v>
      </c>
      <c r="B31" s="20">
        <f>SUM(B27:B30)</f>
        <v>610</v>
      </c>
      <c r="C31" s="19"/>
      <c r="D31" s="23">
        <f>SUM(D27:D30)</f>
        <v>6365000</v>
      </c>
      <c r="E31" s="23">
        <f>SUM(E27:E30)</f>
        <v>5950000</v>
      </c>
      <c r="F31" s="21">
        <f>E31/D31</f>
        <v>0.93479968578161821</v>
      </c>
    </row>
    <row r="34" spans="1:5" x14ac:dyDescent="0.35">
      <c r="A34" s="16" t="s">
        <v>145</v>
      </c>
    </row>
    <row r="35" spans="1:5" x14ac:dyDescent="0.35">
      <c r="A35" s="8" t="s">
        <v>146</v>
      </c>
      <c r="B35" s="8" t="s">
        <v>147</v>
      </c>
      <c r="C35" s="8" t="s">
        <v>148</v>
      </c>
      <c r="D35" s="8" t="s">
        <v>149</v>
      </c>
    </row>
    <row r="36" spans="1:5" x14ac:dyDescent="0.35">
      <c r="A36" s="10" t="s">
        <v>150</v>
      </c>
      <c r="B36" s="15">
        <v>685000</v>
      </c>
      <c r="C36" s="15">
        <v>705000</v>
      </c>
      <c r="D36" s="15">
        <f t="shared" ref="D36:D41" si="1">C36-B36</f>
        <v>20000</v>
      </c>
    </row>
    <row r="37" spans="1:5" x14ac:dyDescent="0.35">
      <c r="A37" s="10" t="s">
        <v>151</v>
      </c>
      <c r="B37" s="15">
        <v>245000</v>
      </c>
      <c r="C37" s="15">
        <v>268000</v>
      </c>
      <c r="D37" s="15">
        <f t="shared" si="1"/>
        <v>23000</v>
      </c>
    </row>
    <row r="38" spans="1:5" x14ac:dyDescent="0.35">
      <c r="A38" s="10" t="s">
        <v>152</v>
      </c>
      <c r="B38" s="15">
        <v>175000</v>
      </c>
      <c r="C38" s="15">
        <v>192000</v>
      </c>
      <c r="D38" s="15">
        <f t="shared" si="1"/>
        <v>17000</v>
      </c>
    </row>
    <row r="39" spans="1:5" x14ac:dyDescent="0.35">
      <c r="A39" s="10" t="s">
        <v>153</v>
      </c>
      <c r="B39" s="15">
        <v>180000</v>
      </c>
      <c r="C39" s="15">
        <v>320000</v>
      </c>
      <c r="D39" s="15">
        <f t="shared" si="1"/>
        <v>140000</v>
      </c>
    </row>
    <row r="40" spans="1:5" x14ac:dyDescent="0.35">
      <c r="A40" s="10" t="s">
        <v>154</v>
      </c>
      <c r="B40" s="15">
        <v>95000</v>
      </c>
      <c r="C40" s="15">
        <v>145000</v>
      </c>
      <c r="D40" s="15">
        <f t="shared" si="1"/>
        <v>50000</v>
      </c>
    </row>
    <row r="41" spans="1:5" x14ac:dyDescent="0.35">
      <c r="A41" s="19" t="s">
        <v>138</v>
      </c>
      <c r="B41" s="23">
        <f>SUM(B36:B40)</f>
        <v>1380000</v>
      </c>
      <c r="C41" s="23">
        <f>SUM(C36:C40)</f>
        <v>1630000</v>
      </c>
      <c r="D41" s="23">
        <f t="shared" si="1"/>
        <v>250000</v>
      </c>
    </row>
    <row r="44" spans="1:5" x14ac:dyDescent="0.35">
      <c r="A44" s="16" t="s">
        <v>155</v>
      </c>
    </row>
    <row r="45" spans="1:5" x14ac:dyDescent="0.35">
      <c r="A45" s="8" t="s">
        <v>156</v>
      </c>
      <c r="B45" s="8" t="s">
        <v>157</v>
      </c>
      <c r="C45" s="8" t="s">
        <v>115</v>
      </c>
      <c r="D45" s="8" t="s">
        <v>141</v>
      </c>
      <c r="E45" s="8" t="s">
        <v>158</v>
      </c>
    </row>
    <row r="46" spans="1:5" x14ac:dyDescent="0.35">
      <c r="A46" s="11" t="s">
        <v>159</v>
      </c>
      <c r="B46" s="10" t="s">
        <v>160</v>
      </c>
      <c r="C46" s="11" t="s">
        <v>120</v>
      </c>
      <c r="D46" s="15">
        <v>7500</v>
      </c>
      <c r="E46" s="11" t="s">
        <v>150</v>
      </c>
    </row>
    <row r="47" spans="1:5" x14ac:dyDescent="0.35">
      <c r="A47" s="11" t="s">
        <v>161</v>
      </c>
      <c r="B47" s="10" t="s">
        <v>162</v>
      </c>
      <c r="C47" s="11" t="s">
        <v>121</v>
      </c>
      <c r="D47" s="15">
        <v>7500</v>
      </c>
      <c r="E47" s="11" t="s">
        <v>150</v>
      </c>
    </row>
    <row r="48" spans="1:5" x14ac:dyDescent="0.35">
      <c r="A48" s="11" t="s">
        <v>163</v>
      </c>
      <c r="B48" s="10" t="s">
        <v>164</v>
      </c>
      <c r="C48" s="11" t="s">
        <v>121</v>
      </c>
      <c r="D48" s="15">
        <v>9500</v>
      </c>
      <c r="E48" s="11" t="s">
        <v>150</v>
      </c>
    </row>
    <row r="49" spans="1:5" x14ac:dyDescent="0.35">
      <c r="A49" s="11" t="s">
        <v>165</v>
      </c>
      <c r="B49" s="10" t="s">
        <v>166</v>
      </c>
      <c r="C49" s="11" t="s">
        <v>126</v>
      </c>
      <c r="D49" s="15">
        <v>9500</v>
      </c>
      <c r="E49" s="11" t="s">
        <v>150</v>
      </c>
    </row>
    <row r="50" spans="1:5" x14ac:dyDescent="0.35">
      <c r="A50" s="11" t="s">
        <v>167</v>
      </c>
      <c r="B50" s="10" t="s">
        <v>168</v>
      </c>
      <c r="C50" s="11" t="s">
        <v>128</v>
      </c>
      <c r="D50" s="15">
        <v>9500</v>
      </c>
      <c r="E50" s="11" t="s">
        <v>169</v>
      </c>
    </row>
    <row r="51" spans="1:5" x14ac:dyDescent="0.35">
      <c r="A51" s="11" t="s">
        <v>170</v>
      </c>
      <c r="B51" s="10" t="s">
        <v>171</v>
      </c>
      <c r="C51" s="11" t="s">
        <v>131</v>
      </c>
      <c r="D51" s="15">
        <v>11500</v>
      </c>
      <c r="E51" s="11" t="s">
        <v>150</v>
      </c>
    </row>
    <row r="52" spans="1:5" x14ac:dyDescent="0.35">
      <c r="A52" s="11" t="s">
        <v>172</v>
      </c>
      <c r="B52" s="10" t="s">
        <v>173</v>
      </c>
      <c r="C52" s="11" t="s">
        <v>132</v>
      </c>
      <c r="D52" s="15">
        <v>11500</v>
      </c>
      <c r="E52" s="11" t="s">
        <v>174</v>
      </c>
    </row>
    <row r="53" spans="1:5" x14ac:dyDescent="0.35">
      <c r="A53" s="11" t="s">
        <v>175</v>
      </c>
      <c r="B53" s="10" t="s">
        <v>176</v>
      </c>
      <c r="C53" s="11" t="s">
        <v>133</v>
      </c>
      <c r="D53" s="15">
        <v>11500</v>
      </c>
      <c r="E53" s="11" t="s">
        <v>150</v>
      </c>
    </row>
    <row r="54" spans="1:5" x14ac:dyDescent="0.35">
      <c r="A54" s="11" t="s">
        <v>177</v>
      </c>
      <c r="B54" s="10" t="s">
        <v>178</v>
      </c>
      <c r="C54" s="11" t="s">
        <v>135</v>
      </c>
      <c r="D54" s="15">
        <v>13500</v>
      </c>
      <c r="E54" s="11" t="s">
        <v>150</v>
      </c>
    </row>
    <row r="55" spans="1:5" x14ac:dyDescent="0.35">
      <c r="A55" s="11" t="s">
        <v>179</v>
      </c>
      <c r="B55" s="10" t="s">
        <v>180</v>
      </c>
      <c r="C55" s="11" t="s">
        <v>136</v>
      </c>
      <c r="D55" s="15">
        <v>13500</v>
      </c>
      <c r="E55" s="11" t="s">
        <v>181</v>
      </c>
    </row>
    <row r="56" spans="1:5" x14ac:dyDescent="0.35">
      <c r="A56" s="11" t="s">
        <v>182</v>
      </c>
      <c r="B56" s="10" t="s">
        <v>183</v>
      </c>
      <c r="C56" s="11" t="s">
        <v>137</v>
      </c>
      <c r="D56" s="15">
        <v>13500</v>
      </c>
      <c r="E56" s="11" t="s">
        <v>150</v>
      </c>
    </row>
    <row r="59" spans="1:5" x14ac:dyDescent="0.35">
      <c r="A59" s="16" t="s">
        <v>184</v>
      </c>
    </row>
    <row r="60" spans="1:5" x14ac:dyDescent="0.35">
      <c r="A60" s="10" t="s">
        <v>185</v>
      </c>
      <c r="B60" s="24">
        <f>C22</f>
        <v>610</v>
      </c>
    </row>
    <row r="61" spans="1:5" x14ac:dyDescent="0.35">
      <c r="A61" s="10" t="s">
        <v>186</v>
      </c>
      <c r="B61" s="15">
        <f>D31</f>
        <v>6365000</v>
      </c>
    </row>
    <row r="62" spans="1:5" x14ac:dyDescent="0.35">
      <c r="A62" s="10" t="s">
        <v>187</v>
      </c>
      <c r="B62" s="15">
        <f>E31</f>
        <v>5950000</v>
      </c>
    </row>
    <row r="63" spans="1:5" x14ac:dyDescent="0.35">
      <c r="A63" s="10" t="s">
        <v>188</v>
      </c>
      <c r="B63" s="15">
        <v>350000</v>
      </c>
    </row>
    <row r="64" spans="1:5" x14ac:dyDescent="0.35">
      <c r="A64" s="10" t="s">
        <v>189</v>
      </c>
      <c r="B64" s="15">
        <f>D31+B63</f>
        <v>6715000</v>
      </c>
    </row>
    <row r="65" spans="1:2" x14ac:dyDescent="0.35">
      <c r="A65" s="10" t="s">
        <v>190</v>
      </c>
      <c r="B65" s="15">
        <f>E31+B63</f>
        <v>6300000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50" customWidth="1"/>
    <col min="4" max="6" width="16" customWidth="1"/>
  </cols>
  <sheetData>
    <row r="1" spans="1:6" ht="18" x14ac:dyDescent="0.4">
      <c r="A1" s="12" t="s">
        <v>103</v>
      </c>
    </row>
    <row r="2" spans="1:6" x14ac:dyDescent="0.35">
      <c r="A2" s="13" t="s">
        <v>191</v>
      </c>
    </row>
    <row r="3" spans="1:6" x14ac:dyDescent="0.35">
      <c r="A3" s="14" t="s">
        <v>192</v>
      </c>
    </row>
    <row r="5" spans="1:6" x14ac:dyDescent="0.35">
      <c r="A5" s="8" t="s">
        <v>193</v>
      </c>
      <c r="B5" s="8" t="s">
        <v>194</v>
      </c>
      <c r="C5" s="8" t="s">
        <v>195</v>
      </c>
      <c r="D5" s="8" t="s">
        <v>196</v>
      </c>
      <c r="E5" s="8" t="s">
        <v>197</v>
      </c>
      <c r="F5" s="8" t="s">
        <v>198</v>
      </c>
    </row>
    <row r="6" spans="1:6" x14ac:dyDescent="0.35">
      <c r="A6" s="25" t="s">
        <v>199</v>
      </c>
      <c r="B6" s="25"/>
      <c r="C6" s="26" t="s">
        <v>200</v>
      </c>
      <c r="D6" s="27"/>
      <c r="E6" s="27"/>
      <c r="F6" s="27">
        <v>5280000</v>
      </c>
    </row>
    <row r="7" spans="1:6" x14ac:dyDescent="0.35">
      <c r="A7" s="11" t="s">
        <v>201</v>
      </c>
      <c r="B7" s="11" t="s">
        <v>202</v>
      </c>
      <c r="C7" s="10" t="s">
        <v>203</v>
      </c>
      <c r="D7" s="15">
        <v>845000</v>
      </c>
      <c r="E7" s="15"/>
      <c r="F7" s="15">
        <f t="shared" ref="F7:F30" si="0">F6+IFERROR(D7,0)-IFERROR(E7,0)</f>
        <v>6125000</v>
      </c>
    </row>
    <row r="8" spans="1:6" x14ac:dyDescent="0.35">
      <c r="A8" s="11" t="s">
        <v>204</v>
      </c>
      <c r="B8" s="11" t="s">
        <v>205</v>
      </c>
      <c r="C8" s="10" t="s">
        <v>206</v>
      </c>
      <c r="D8" s="15"/>
      <c r="E8" s="15">
        <v>1380000</v>
      </c>
      <c r="F8" s="15">
        <f t="shared" si="0"/>
        <v>4745000</v>
      </c>
    </row>
    <row r="9" spans="1:6" x14ac:dyDescent="0.35">
      <c r="A9" s="11" t="s">
        <v>207</v>
      </c>
      <c r="B9" s="11" t="s">
        <v>208</v>
      </c>
      <c r="C9" s="10" t="s">
        <v>203</v>
      </c>
      <c r="D9" s="15">
        <v>615000</v>
      </c>
      <c r="E9" s="15"/>
      <c r="F9" s="15">
        <f t="shared" si="0"/>
        <v>5360000</v>
      </c>
    </row>
    <row r="10" spans="1:6" x14ac:dyDescent="0.35">
      <c r="A10" s="11" t="s">
        <v>207</v>
      </c>
      <c r="B10" s="11" t="s">
        <v>209</v>
      </c>
      <c r="C10" s="10" t="s">
        <v>210</v>
      </c>
      <c r="D10" s="15"/>
      <c r="E10" s="15">
        <v>142000</v>
      </c>
      <c r="F10" s="15">
        <f t="shared" si="0"/>
        <v>5218000</v>
      </c>
    </row>
    <row r="11" spans="1:6" x14ac:dyDescent="0.35">
      <c r="A11" s="11" t="s">
        <v>211</v>
      </c>
      <c r="B11" s="11" t="s">
        <v>212</v>
      </c>
      <c r="C11" s="10" t="s">
        <v>213</v>
      </c>
      <c r="D11" s="15">
        <v>488000</v>
      </c>
      <c r="E11" s="15"/>
      <c r="F11" s="15">
        <f t="shared" si="0"/>
        <v>5706000</v>
      </c>
    </row>
    <row r="12" spans="1:6" x14ac:dyDescent="0.35">
      <c r="A12" s="11" t="s">
        <v>214</v>
      </c>
      <c r="B12" s="11" t="s">
        <v>215</v>
      </c>
      <c r="C12" s="10" t="s">
        <v>216</v>
      </c>
      <c r="D12" s="15"/>
      <c r="E12" s="15">
        <v>168000</v>
      </c>
      <c r="F12" s="15">
        <f t="shared" si="0"/>
        <v>5538000</v>
      </c>
    </row>
    <row r="13" spans="1:6" x14ac:dyDescent="0.35">
      <c r="A13" s="11" t="s">
        <v>217</v>
      </c>
      <c r="B13" s="11" t="s">
        <v>218</v>
      </c>
      <c r="C13" s="10" t="s">
        <v>203</v>
      </c>
      <c r="D13" s="15">
        <v>720000</v>
      </c>
      <c r="E13" s="15"/>
      <c r="F13" s="15">
        <f t="shared" si="0"/>
        <v>6258000</v>
      </c>
    </row>
    <row r="14" spans="1:6" x14ac:dyDescent="0.35">
      <c r="A14" s="11" t="s">
        <v>219</v>
      </c>
      <c r="B14" s="11" t="s">
        <v>220</v>
      </c>
      <c r="C14" s="10" t="s">
        <v>213</v>
      </c>
      <c r="D14" s="15">
        <v>425000</v>
      </c>
      <c r="E14" s="15"/>
      <c r="F14" s="15">
        <f t="shared" si="0"/>
        <v>6683000</v>
      </c>
    </row>
    <row r="15" spans="1:6" x14ac:dyDescent="0.35">
      <c r="A15" s="11" t="s">
        <v>221</v>
      </c>
      <c r="B15" s="11" t="s">
        <v>222</v>
      </c>
      <c r="C15" s="10" t="s">
        <v>223</v>
      </c>
      <c r="D15" s="15"/>
      <c r="E15" s="15">
        <v>78000</v>
      </c>
      <c r="F15" s="15">
        <f t="shared" si="0"/>
        <v>6605000</v>
      </c>
    </row>
    <row r="16" spans="1:6" x14ac:dyDescent="0.35">
      <c r="A16" s="11" t="s">
        <v>224</v>
      </c>
      <c r="B16" s="11" t="s">
        <v>225</v>
      </c>
      <c r="C16" s="10" t="s">
        <v>203</v>
      </c>
      <c r="D16" s="15">
        <v>380000</v>
      </c>
      <c r="E16" s="15"/>
      <c r="F16" s="15">
        <f t="shared" si="0"/>
        <v>6985000</v>
      </c>
    </row>
    <row r="17" spans="1:6" x14ac:dyDescent="0.35">
      <c r="A17" s="11" t="s">
        <v>226</v>
      </c>
      <c r="B17" s="11" t="s">
        <v>227</v>
      </c>
      <c r="C17" s="10" t="s">
        <v>228</v>
      </c>
      <c r="D17" s="15"/>
      <c r="E17" s="15">
        <v>245000</v>
      </c>
      <c r="F17" s="15">
        <f t="shared" si="0"/>
        <v>6740000</v>
      </c>
    </row>
    <row r="18" spans="1:6" x14ac:dyDescent="0.35">
      <c r="A18" s="11" t="s">
        <v>229</v>
      </c>
      <c r="B18" s="11" t="s">
        <v>230</v>
      </c>
      <c r="C18" s="10" t="s">
        <v>203</v>
      </c>
      <c r="D18" s="15">
        <v>425000</v>
      </c>
      <c r="E18" s="15"/>
      <c r="F18" s="15">
        <f t="shared" si="0"/>
        <v>7165000</v>
      </c>
    </row>
    <row r="19" spans="1:6" x14ac:dyDescent="0.35">
      <c r="A19" s="11" t="s">
        <v>231</v>
      </c>
      <c r="B19" s="11" t="s">
        <v>232</v>
      </c>
      <c r="C19" s="10" t="s">
        <v>233</v>
      </c>
      <c r="D19" s="15">
        <v>38500</v>
      </c>
      <c r="E19" s="15"/>
      <c r="F19" s="15">
        <f t="shared" si="0"/>
        <v>7203500</v>
      </c>
    </row>
    <row r="20" spans="1:6" x14ac:dyDescent="0.35">
      <c r="A20" s="11" t="s">
        <v>231</v>
      </c>
      <c r="B20" s="11" t="s">
        <v>234</v>
      </c>
      <c r="C20" s="10" t="s">
        <v>235</v>
      </c>
      <c r="D20" s="15"/>
      <c r="E20" s="15">
        <v>1380000</v>
      </c>
      <c r="F20" s="15">
        <f t="shared" si="0"/>
        <v>5823500</v>
      </c>
    </row>
    <row r="21" spans="1:6" x14ac:dyDescent="0.35">
      <c r="A21" s="11" t="s">
        <v>236</v>
      </c>
      <c r="B21" s="11" t="s">
        <v>237</v>
      </c>
      <c r="C21" s="10" t="s">
        <v>213</v>
      </c>
      <c r="D21" s="15">
        <v>365000</v>
      </c>
      <c r="E21" s="15"/>
      <c r="F21" s="15">
        <f t="shared" si="0"/>
        <v>6188500</v>
      </c>
    </row>
    <row r="22" spans="1:6" x14ac:dyDescent="0.35">
      <c r="A22" s="11" t="s">
        <v>238</v>
      </c>
      <c r="B22" s="11" t="s">
        <v>239</v>
      </c>
      <c r="C22" s="10" t="s">
        <v>240</v>
      </c>
      <c r="D22" s="15"/>
      <c r="E22" s="15">
        <v>208500</v>
      </c>
      <c r="F22" s="15">
        <f t="shared" si="0"/>
        <v>5980000</v>
      </c>
    </row>
    <row r="23" spans="1:6" x14ac:dyDescent="0.35">
      <c r="A23" s="11" t="s">
        <v>241</v>
      </c>
      <c r="B23" s="11" t="s">
        <v>242</v>
      </c>
      <c r="C23" s="10" t="s">
        <v>203</v>
      </c>
      <c r="D23" s="15">
        <v>295000</v>
      </c>
      <c r="E23" s="15"/>
      <c r="F23" s="15">
        <f t="shared" si="0"/>
        <v>6275000</v>
      </c>
    </row>
    <row r="24" spans="1:6" x14ac:dyDescent="0.35">
      <c r="A24" s="11" t="s">
        <v>243</v>
      </c>
      <c r="B24" s="11" t="s">
        <v>244</v>
      </c>
      <c r="C24" s="10" t="s">
        <v>213</v>
      </c>
      <c r="D24" s="15">
        <v>215000</v>
      </c>
      <c r="E24" s="15"/>
      <c r="F24" s="15">
        <f t="shared" si="0"/>
        <v>6490000</v>
      </c>
    </row>
    <row r="25" spans="1:6" x14ac:dyDescent="0.35">
      <c r="A25" s="11" t="s">
        <v>245</v>
      </c>
      <c r="B25" s="11" t="s">
        <v>246</v>
      </c>
      <c r="C25" s="10" t="s">
        <v>247</v>
      </c>
      <c r="D25" s="15"/>
      <c r="E25" s="15">
        <v>780000</v>
      </c>
      <c r="F25" s="15">
        <f t="shared" si="0"/>
        <v>5710000</v>
      </c>
    </row>
    <row r="26" spans="1:6" x14ac:dyDescent="0.35">
      <c r="A26" s="11" t="s">
        <v>248</v>
      </c>
      <c r="B26" s="11" t="s">
        <v>249</v>
      </c>
      <c r="C26" s="10" t="s">
        <v>250</v>
      </c>
      <c r="D26" s="15"/>
      <c r="E26" s="15">
        <v>85000</v>
      </c>
      <c r="F26" s="15">
        <f t="shared" si="0"/>
        <v>5625000</v>
      </c>
    </row>
    <row r="27" spans="1:6" x14ac:dyDescent="0.35">
      <c r="A27" s="11" t="s">
        <v>251</v>
      </c>
      <c r="B27" s="11" t="s">
        <v>252</v>
      </c>
      <c r="C27" s="10" t="s">
        <v>203</v>
      </c>
      <c r="D27" s="15">
        <v>170000</v>
      </c>
      <c r="E27" s="15"/>
      <c r="F27" s="15">
        <f t="shared" si="0"/>
        <v>5795000</v>
      </c>
    </row>
    <row r="28" spans="1:6" x14ac:dyDescent="0.35">
      <c r="A28" s="11" t="s">
        <v>253</v>
      </c>
      <c r="B28" s="11" t="s">
        <v>254</v>
      </c>
      <c r="C28" s="10" t="s">
        <v>255</v>
      </c>
      <c r="D28" s="15"/>
      <c r="E28" s="15">
        <v>38000</v>
      </c>
      <c r="F28" s="15">
        <f t="shared" si="0"/>
        <v>5757000</v>
      </c>
    </row>
    <row r="29" spans="1:6" x14ac:dyDescent="0.35">
      <c r="A29" s="11" t="s">
        <v>256</v>
      </c>
      <c r="B29" s="11" t="s">
        <v>257</v>
      </c>
      <c r="C29" s="10" t="s">
        <v>213</v>
      </c>
      <c r="D29" s="15">
        <v>159500</v>
      </c>
      <c r="E29" s="15"/>
      <c r="F29" s="15">
        <f t="shared" si="0"/>
        <v>5916500</v>
      </c>
    </row>
    <row r="30" spans="1:6" x14ac:dyDescent="0.35">
      <c r="A30" s="11" t="s">
        <v>256</v>
      </c>
      <c r="B30" s="11" t="s">
        <v>258</v>
      </c>
      <c r="C30" s="10" t="s">
        <v>259</v>
      </c>
      <c r="D30" s="15"/>
      <c r="E30" s="15">
        <v>22000</v>
      </c>
      <c r="F30" s="15">
        <f t="shared" si="0"/>
        <v>5894500</v>
      </c>
    </row>
    <row r="31" spans="1:6" x14ac:dyDescent="0.35">
      <c r="A31" s="19"/>
      <c r="B31" s="19"/>
      <c r="C31" s="19" t="s">
        <v>260</v>
      </c>
      <c r="D31" s="23">
        <f>SUM(D7:D30)</f>
        <v>5141000</v>
      </c>
      <c r="E31" s="23">
        <f>SUM(E7:E30)</f>
        <v>4526500</v>
      </c>
      <c r="F31" s="23">
        <f>F30</f>
        <v>5894500</v>
      </c>
    </row>
    <row r="33" spans="1:1" x14ac:dyDescent="0.35">
      <c r="A33" s="14" t="s">
        <v>261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3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35" sqref="E35"/>
    </sheetView>
  </sheetViews>
  <sheetFormatPr defaultColWidth="8.6328125" defaultRowHeight="14.5" x14ac:dyDescent="0.35"/>
  <cols>
    <col min="1" max="1" width="12" customWidth="1"/>
    <col min="2" max="2" width="36" customWidth="1"/>
    <col min="3" max="14" width="13" customWidth="1"/>
    <col min="15" max="15" width="15" customWidth="1"/>
  </cols>
  <sheetData>
    <row r="1" spans="1:15" ht="18" x14ac:dyDescent="0.4">
      <c r="A1" s="12" t="s">
        <v>103</v>
      </c>
    </row>
    <row r="2" spans="1:15" x14ac:dyDescent="0.35">
      <c r="A2" s="13" t="s">
        <v>262</v>
      </c>
    </row>
    <row r="3" spans="1:15" x14ac:dyDescent="0.35">
      <c r="A3" s="14" t="s">
        <v>263</v>
      </c>
    </row>
    <row r="5" spans="1:15" x14ac:dyDescent="0.35">
      <c r="A5" s="8" t="s">
        <v>18</v>
      </c>
      <c r="B5" s="8" t="s">
        <v>195</v>
      </c>
      <c r="C5" s="8" t="s">
        <v>264</v>
      </c>
      <c r="D5" s="8" t="s">
        <v>265</v>
      </c>
      <c r="E5" s="8" t="s">
        <v>266</v>
      </c>
      <c r="F5" s="8" t="s">
        <v>267</v>
      </c>
      <c r="G5" s="8" t="s">
        <v>268</v>
      </c>
      <c r="H5" s="8" t="s">
        <v>269</v>
      </c>
      <c r="I5" s="8" t="s">
        <v>270</v>
      </c>
      <c r="J5" s="8" t="s">
        <v>271</v>
      </c>
      <c r="K5" s="8" t="s">
        <v>272</v>
      </c>
      <c r="L5" s="8" t="s">
        <v>273</v>
      </c>
      <c r="M5" s="8" t="s">
        <v>274</v>
      </c>
      <c r="N5" s="8" t="s">
        <v>275</v>
      </c>
      <c r="O5" s="8" t="s">
        <v>276</v>
      </c>
    </row>
    <row r="6" spans="1:15" x14ac:dyDescent="0.35">
      <c r="A6" s="28" t="s">
        <v>277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x14ac:dyDescent="0.35">
      <c r="A7" s="9" t="s">
        <v>59</v>
      </c>
      <c r="B7" s="10" t="s">
        <v>60</v>
      </c>
      <c r="C7" s="15">
        <v>637500</v>
      </c>
      <c r="D7" s="15">
        <v>637500</v>
      </c>
      <c r="E7" s="15">
        <v>637500</v>
      </c>
      <c r="F7" s="15">
        <v>637500</v>
      </c>
      <c r="G7" s="15">
        <v>637500</v>
      </c>
      <c r="H7" s="15">
        <v>0</v>
      </c>
      <c r="I7" s="15">
        <v>0</v>
      </c>
      <c r="J7" s="15">
        <v>637500</v>
      </c>
      <c r="K7" s="15">
        <v>637500</v>
      </c>
      <c r="L7" s="15">
        <v>637500</v>
      </c>
      <c r="M7" s="15">
        <v>637500</v>
      </c>
      <c r="N7" s="15">
        <v>637500</v>
      </c>
      <c r="O7" s="15">
        <f t="shared" ref="O7:O12" si="0">SUM(C7:N7)</f>
        <v>6375000</v>
      </c>
    </row>
    <row r="8" spans="1:15" x14ac:dyDescent="0.35">
      <c r="A8" s="9" t="s">
        <v>62</v>
      </c>
      <c r="B8" s="10" t="s">
        <v>63</v>
      </c>
      <c r="C8" s="15">
        <v>2565000</v>
      </c>
      <c r="D8" s="15">
        <v>2565000</v>
      </c>
      <c r="E8" s="15">
        <v>2565000</v>
      </c>
      <c r="F8" s="15">
        <v>2565000</v>
      </c>
      <c r="G8" s="15">
        <v>2565000</v>
      </c>
      <c r="H8" s="15">
        <v>0</v>
      </c>
      <c r="I8" s="15">
        <v>0</v>
      </c>
      <c r="J8" s="15">
        <v>2565000</v>
      </c>
      <c r="K8" s="15">
        <v>2565000</v>
      </c>
      <c r="L8" s="15">
        <v>2565000</v>
      </c>
      <c r="M8" s="15">
        <v>2565000</v>
      </c>
      <c r="N8" s="15">
        <v>2565000</v>
      </c>
      <c r="O8" s="15">
        <f t="shared" si="0"/>
        <v>25650000</v>
      </c>
    </row>
    <row r="9" spans="1:15" x14ac:dyDescent="0.35">
      <c r="A9" s="9" t="s">
        <v>64</v>
      </c>
      <c r="B9" s="10" t="s">
        <v>65</v>
      </c>
      <c r="C9" s="15">
        <v>1610000</v>
      </c>
      <c r="D9" s="15">
        <v>1610000</v>
      </c>
      <c r="E9" s="15">
        <v>1610000</v>
      </c>
      <c r="F9" s="15">
        <v>1610000</v>
      </c>
      <c r="G9" s="15">
        <v>1610000</v>
      </c>
      <c r="H9" s="15">
        <v>0</v>
      </c>
      <c r="I9" s="15">
        <v>0</v>
      </c>
      <c r="J9" s="15">
        <v>1610000</v>
      </c>
      <c r="K9" s="15">
        <v>1610000</v>
      </c>
      <c r="L9" s="15">
        <v>1610000</v>
      </c>
      <c r="M9" s="15">
        <v>1610000</v>
      </c>
      <c r="N9" s="15">
        <v>1610000</v>
      </c>
      <c r="O9" s="15">
        <f t="shared" si="0"/>
        <v>16100000</v>
      </c>
    </row>
    <row r="10" spans="1:15" x14ac:dyDescent="0.35">
      <c r="A10" s="9" t="s">
        <v>66</v>
      </c>
      <c r="B10" s="10" t="s">
        <v>67</v>
      </c>
      <c r="C10" s="15">
        <v>1552500</v>
      </c>
      <c r="D10" s="15">
        <v>1552500</v>
      </c>
      <c r="E10" s="15">
        <v>1552500</v>
      </c>
      <c r="F10" s="15">
        <v>1552500</v>
      </c>
      <c r="G10" s="15">
        <v>1552500</v>
      </c>
      <c r="H10" s="15">
        <v>0</v>
      </c>
      <c r="I10" s="15">
        <v>0</v>
      </c>
      <c r="J10" s="15">
        <v>1552500</v>
      </c>
      <c r="K10" s="15">
        <v>1552500</v>
      </c>
      <c r="L10" s="15">
        <v>1552500</v>
      </c>
      <c r="M10" s="15">
        <v>1552500</v>
      </c>
      <c r="N10" s="15">
        <v>1552500</v>
      </c>
      <c r="O10" s="15">
        <f t="shared" si="0"/>
        <v>15525000</v>
      </c>
    </row>
    <row r="11" spans="1:15" x14ac:dyDescent="0.35">
      <c r="A11" s="9" t="s">
        <v>70</v>
      </c>
      <c r="B11" s="10" t="s">
        <v>278</v>
      </c>
      <c r="C11" s="15">
        <v>340000</v>
      </c>
      <c r="D11" s="15">
        <v>340000</v>
      </c>
      <c r="E11" s="15">
        <v>340000</v>
      </c>
      <c r="F11" s="15">
        <v>340000</v>
      </c>
      <c r="G11" s="15">
        <v>306000</v>
      </c>
      <c r="H11" s="15">
        <v>102000</v>
      </c>
      <c r="I11" s="15">
        <v>68000</v>
      </c>
      <c r="J11" s="15">
        <v>374000</v>
      </c>
      <c r="K11" s="15">
        <v>374000</v>
      </c>
      <c r="L11" s="15">
        <v>340000</v>
      </c>
      <c r="M11" s="15">
        <v>340000</v>
      </c>
      <c r="N11" s="15">
        <v>306000</v>
      </c>
      <c r="O11" s="15">
        <f t="shared" si="0"/>
        <v>3570000</v>
      </c>
    </row>
    <row r="12" spans="1:15" x14ac:dyDescent="0.35">
      <c r="A12" s="9" t="s">
        <v>72</v>
      </c>
      <c r="B12" s="10" t="s">
        <v>73</v>
      </c>
      <c r="C12" s="15">
        <v>40000</v>
      </c>
      <c r="D12" s="15">
        <v>40000</v>
      </c>
      <c r="E12" s="15">
        <v>40000</v>
      </c>
      <c r="F12" s="15">
        <v>40000</v>
      </c>
      <c r="G12" s="15">
        <v>40000</v>
      </c>
      <c r="H12" s="15">
        <v>40000</v>
      </c>
      <c r="I12" s="15">
        <v>40000</v>
      </c>
      <c r="J12" s="15">
        <v>40000</v>
      </c>
      <c r="K12" s="15">
        <v>40000</v>
      </c>
      <c r="L12" s="15">
        <v>40000</v>
      </c>
      <c r="M12" s="15">
        <v>40000</v>
      </c>
      <c r="N12" s="15">
        <v>40000</v>
      </c>
      <c r="O12" s="15">
        <f t="shared" si="0"/>
        <v>480000</v>
      </c>
    </row>
    <row r="13" spans="1:15" x14ac:dyDescent="0.35">
      <c r="A13" s="19"/>
      <c r="B13" s="19" t="s">
        <v>279</v>
      </c>
      <c r="C13" s="23">
        <f t="shared" ref="C13:O13" si="1">SUM(C7:C12)</f>
        <v>6745000</v>
      </c>
      <c r="D13" s="23">
        <f t="shared" si="1"/>
        <v>6745000</v>
      </c>
      <c r="E13" s="23">
        <f t="shared" si="1"/>
        <v>6745000</v>
      </c>
      <c r="F13" s="23">
        <f t="shared" si="1"/>
        <v>6745000</v>
      </c>
      <c r="G13" s="23">
        <f t="shared" si="1"/>
        <v>6711000</v>
      </c>
      <c r="H13" s="23">
        <f t="shared" si="1"/>
        <v>142000</v>
      </c>
      <c r="I13" s="23">
        <f t="shared" si="1"/>
        <v>108000</v>
      </c>
      <c r="J13" s="23">
        <f t="shared" si="1"/>
        <v>6779000</v>
      </c>
      <c r="K13" s="23">
        <f t="shared" si="1"/>
        <v>6779000</v>
      </c>
      <c r="L13" s="23">
        <f t="shared" si="1"/>
        <v>6745000</v>
      </c>
      <c r="M13" s="23">
        <f t="shared" si="1"/>
        <v>6745000</v>
      </c>
      <c r="N13" s="23">
        <f t="shared" si="1"/>
        <v>6711000</v>
      </c>
      <c r="O13" s="23">
        <f t="shared" si="1"/>
        <v>67700000</v>
      </c>
    </row>
    <row r="15" spans="1:15" x14ac:dyDescent="0.35">
      <c r="A15" s="28" t="s">
        <v>280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x14ac:dyDescent="0.35">
      <c r="A16" s="9" t="s">
        <v>74</v>
      </c>
      <c r="B16" s="10" t="s">
        <v>75</v>
      </c>
      <c r="C16" s="15">
        <v>2750000</v>
      </c>
      <c r="D16" s="15">
        <v>2750000</v>
      </c>
      <c r="E16" s="15">
        <v>2750000</v>
      </c>
      <c r="F16" s="15">
        <v>2750000</v>
      </c>
      <c r="G16" s="15">
        <v>2750000</v>
      </c>
      <c r="H16" s="15">
        <v>2750000</v>
      </c>
      <c r="I16" s="15">
        <v>2750000</v>
      </c>
      <c r="J16" s="15">
        <v>2750000</v>
      </c>
      <c r="K16" s="15">
        <v>2750000</v>
      </c>
      <c r="L16" s="15">
        <v>2750000</v>
      </c>
      <c r="M16" s="15">
        <v>2750000</v>
      </c>
      <c r="N16" s="15">
        <v>2750000</v>
      </c>
      <c r="O16" s="15">
        <f t="shared" ref="O16:O29" si="2">SUM(C16:N16)</f>
        <v>33000000</v>
      </c>
    </row>
    <row r="17" spans="1:15" x14ac:dyDescent="0.35">
      <c r="A17" s="9" t="s">
        <v>77</v>
      </c>
      <c r="B17" s="10" t="s">
        <v>78</v>
      </c>
      <c r="C17" s="15">
        <v>280000</v>
      </c>
      <c r="D17" s="15">
        <v>280000</v>
      </c>
      <c r="E17" s="15">
        <v>280000</v>
      </c>
      <c r="F17" s="15">
        <v>280000</v>
      </c>
      <c r="G17" s="15">
        <v>280000</v>
      </c>
      <c r="H17" s="15">
        <v>280000</v>
      </c>
      <c r="I17" s="15">
        <v>280000</v>
      </c>
      <c r="J17" s="15">
        <v>280000</v>
      </c>
      <c r="K17" s="15">
        <v>280000</v>
      </c>
      <c r="L17" s="15">
        <v>280000</v>
      </c>
      <c r="M17" s="15">
        <v>280000</v>
      </c>
      <c r="N17" s="15">
        <v>280000</v>
      </c>
      <c r="O17" s="15">
        <f t="shared" si="2"/>
        <v>3360000</v>
      </c>
    </row>
    <row r="18" spans="1:15" x14ac:dyDescent="0.35">
      <c r="A18" s="9" t="s">
        <v>79</v>
      </c>
      <c r="B18" s="10" t="s">
        <v>80</v>
      </c>
      <c r="C18" s="15">
        <v>170000</v>
      </c>
      <c r="D18" s="15">
        <v>170000</v>
      </c>
      <c r="E18" s="15">
        <v>170000</v>
      </c>
      <c r="F18" s="15">
        <v>170000</v>
      </c>
      <c r="G18" s="15">
        <v>170000</v>
      </c>
      <c r="H18" s="15">
        <v>170000</v>
      </c>
      <c r="I18" s="15">
        <v>170000</v>
      </c>
      <c r="J18" s="15">
        <v>170000</v>
      </c>
      <c r="K18" s="15">
        <v>170000</v>
      </c>
      <c r="L18" s="15">
        <v>170000</v>
      </c>
      <c r="M18" s="15">
        <v>170000</v>
      </c>
      <c r="N18" s="15">
        <v>170000</v>
      </c>
      <c r="O18" s="15">
        <f t="shared" si="2"/>
        <v>2040000</v>
      </c>
    </row>
    <row r="19" spans="1:15" x14ac:dyDescent="0.35">
      <c r="A19" s="9" t="s">
        <v>81</v>
      </c>
      <c r="B19" s="10" t="s">
        <v>82</v>
      </c>
      <c r="C19" s="15">
        <v>780000</v>
      </c>
      <c r="D19" s="15">
        <v>780000</v>
      </c>
      <c r="E19" s="15">
        <v>780000</v>
      </c>
      <c r="F19" s="15">
        <v>780000</v>
      </c>
      <c r="G19" s="15">
        <v>780000</v>
      </c>
      <c r="H19" s="15">
        <v>780000</v>
      </c>
      <c r="I19" s="15">
        <v>780000</v>
      </c>
      <c r="J19" s="15">
        <v>780000</v>
      </c>
      <c r="K19" s="15">
        <v>780000</v>
      </c>
      <c r="L19" s="15">
        <v>780000</v>
      </c>
      <c r="M19" s="15">
        <v>780000</v>
      </c>
      <c r="N19" s="15">
        <v>780000</v>
      </c>
      <c r="O19" s="15">
        <f t="shared" si="2"/>
        <v>9360000</v>
      </c>
    </row>
    <row r="20" spans="1:15" x14ac:dyDescent="0.35">
      <c r="A20" s="9" t="s">
        <v>83</v>
      </c>
      <c r="B20" s="10" t="s">
        <v>84</v>
      </c>
      <c r="C20" s="15">
        <v>80000</v>
      </c>
      <c r="D20" s="15">
        <v>80000</v>
      </c>
      <c r="E20" s="15">
        <v>80000</v>
      </c>
      <c r="F20" s="15">
        <v>80000</v>
      </c>
      <c r="G20" s="15">
        <v>80000</v>
      </c>
      <c r="H20" s="15">
        <v>80000</v>
      </c>
      <c r="I20" s="15">
        <v>80000</v>
      </c>
      <c r="J20" s="15">
        <v>80000</v>
      </c>
      <c r="K20" s="15">
        <v>80000</v>
      </c>
      <c r="L20" s="15">
        <v>80000</v>
      </c>
      <c r="M20" s="15">
        <v>80000</v>
      </c>
      <c r="N20" s="15">
        <v>80000</v>
      </c>
      <c r="O20" s="15">
        <f t="shared" si="2"/>
        <v>960000</v>
      </c>
    </row>
    <row r="21" spans="1:15" x14ac:dyDescent="0.35">
      <c r="A21" s="9" t="s">
        <v>85</v>
      </c>
      <c r="B21" s="10" t="s">
        <v>86</v>
      </c>
      <c r="C21" s="15">
        <v>90000</v>
      </c>
      <c r="D21" s="15">
        <v>90000</v>
      </c>
      <c r="E21" s="15">
        <v>90000</v>
      </c>
      <c r="F21" s="15">
        <v>90000</v>
      </c>
      <c r="G21" s="15">
        <v>90000</v>
      </c>
      <c r="H21" s="15">
        <v>90000</v>
      </c>
      <c r="I21" s="15">
        <v>90000</v>
      </c>
      <c r="J21" s="15">
        <v>90000</v>
      </c>
      <c r="K21" s="15">
        <v>90000</v>
      </c>
      <c r="L21" s="15">
        <v>90000</v>
      </c>
      <c r="M21" s="15">
        <v>90000</v>
      </c>
      <c r="N21" s="15">
        <v>90000</v>
      </c>
      <c r="O21" s="15">
        <f t="shared" si="2"/>
        <v>1080000</v>
      </c>
    </row>
    <row r="22" spans="1:15" x14ac:dyDescent="0.35">
      <c r="A22" s="9" t="s">
        <v>87</v>
      </c>
      <c r="B22" s="10" t="s">
        <v>281</v>
      </c>
      <c r="C22" s="15">
        <v>266000</v>
      </c>
      <c r="D22" s="15">
        <v>266000</v>
      </c>
      <c r="E22" s="15">
        <v>280000</v>
      </c>
      <c r="F22" s="15">
        <v>280000</v>
      </c>
      <c r="G22" s="15">
        <v>294000</v>
      </c>
      <c r="H22" s="15">
        <v>196000</v>
      </c>
      <c r="I22" s="15">
        <v>168000</v>
      </c>
      <c r="J22" s="15">
        <v>280000</v>
      </c>
      <c r="K22" s="15">
        <v>294000</v>
      </c>
      <c r="L22" s="15">
        <v>294000</v>
      </c>
      <c r="M22" s="15">
        <v>280000</v>
      </c>
      <c r="N22" s="15">
        <v>238000</v>
      </c>
      <c r="O22" s="15">
        <f t="shared" si="2"/>
        <v>3136000</v>
      </c>
    </row>
    <row r="23" spans="1:15" x14ac:dyDescent="0.35">
      <c r="A23" s="9" t="s">
        <v>89</v>
      </c>
      <c r="B23" s="10" t="s">
        <v>282</v>
      </c>
      <c r="C23" s="15">
        <v>170000</v>
      </c>
      <c r="D23" s="15">
        <v>170000</v>
      </c>
      <c r="E23" s="15">
        <v>170000</v>
      </c>
      <c r="F23" s="15">
        <v>170000</v>
      </c>
      <c r="G23" s="15">
        <v>170000</v>
      </c>
      <c r="H23" s="15">
        <v>170000</v>
      </c>
      <c r="I23" s="15">
        <v>170000</v>
      </c>
      <c r="J23" s="15">
        <v>170000</v>
      </c>
      <c r="K23" s="15">
        <v>170000</v>
      </c>
      <c r="L23" s="15">
        <v>170000</v>
      </c>
      <c r="M23" s="15">
        <v>170000</v>
      </c>
      <c r="N23" s="15">
        <v>170000</v>
      </c>
      <c r="O23" s="15">
        <f t="shared" si="2"/>
        <v>2040000</v>
      </c>
    </row>
    <row r="24" spans="1:15" x14ac:dyDescent="0.35">
      <c r="A24" s="9" t="s">
        <v>91</v>
      </c>
      <c r="B24" s="10" t="s">
        <v>283</v>
      </c>
      <c r="C24" s="15">
        <v>108000</v>
      </c>
      <c r="D24" s="15">
        <v>99000</v>
      </c>
      <c r="E24" s="15">
        <v>90000</v>
      </c>
      <c r="F24" s="15">
        <v>90000</v>
      </c>
      <c r="G24" s="15">
        <v>81000</v>
      </c>
      <c r="H24" s="15">
        <v>45000</v>
      </c>
      <c r="I24" s="15">
        <v>54000</v>
      </c>
      <c r="J24" s="15">
        <v>135000</v>
      </c>
      <c r="K24" s="15">
        <v>108000</v>
      </c>
      <c r="L24" s="15">
        <v>90000</v>
      </c>
      <c r="M24" s="15">
        <v>81000</v>
      </c>
      <c r="N24" s="15">
        <v>62999</v>
      </c>
      <c r="O24" s="15">
        <f t="shared" si="2"/>
        <v>1043999</v>
      </c>
    </row>
    <row r="25" spans="1:15" x14ac:dyDescent="0.35">
      <c r="A25" s="9" t="s">
        <v>93</v>
      </c>
      <c r="B25" s="10" t="s">
        <v>284</v>
      </c>
      <c r="C25" s="15">
        <v>60000</v>
      </c>
      <c r="D25" s="15">
        <v>60000</v>
      </c>
      <c r="E25" s="15">
        <v>67500</v>
      </c>
      <c r="F25" s="15">
        <v>67500</v>
      </c>
      <c r="G25" s="15">
        <v>67500</v>
      </c>
      <c r="H25" s="15">
        <v>67500</v>
      </c>
      <c r="I25" s="15">
        <v>112500</v>
      </c>
      <c r="J25" s="15">
        <v>135000</v>
      </c>
      <c r="K25" s="15">
        <v>90000</v>
      </c>
      <c r="L25" s="15">
        <v>67500</v>
      </c>
      <c r="M25" s="15">
        <v>60000</v>
      </c>
      <c r="N25" s="15">
        <v>60000</v>
      </c>
      <c r="O25" s="15">
        <f t="shared" si="2"/>
        <v>915000</v>
      </c>
    </row>
    <row r="26" spans="1:15" x14ac:dyDescent="0.35">
      <c r="A26" s="9" t="s">
        <v>95</v>
      </c>
      <c r="B26" s="10" t="s">
        <v>285</v>
      </c>
      <c r="C26" s="15">
        <v>65000</v>
      </c>
      <c r="D26" s="15">
        <v>65000</v>
      </c>
      <c r="E26" s="15">
        <v>65000</v>
      </c>
      <c r="F26" s="15">
        <v>65000</v>
      </c>
      <c r="G26" s="15">
        <v>65000</v>
      </c>
      <c r="H26" s="15">
        <v>65000</v>
      </c>
      <c r="I26" s="15">
        <v>65000</v>
      </c>
      <c r="J26" s="15">
        <v>65000</v>
      </c>
      <c r="K26" s="15">
        <v>65000</v>
      </c>
      <c r="L26" s="15">
        <v>65000</v>
      </c>
      <c r="M26" s="15">
        <v>65000</v>
      </c>
      <c r="N26" s="15">
        <v>65000</v>
      </c>
      <c r="O26" s="15">
        <f t="shared" si="2"/>
        <v>780000</v>
      </c>
    </row>
    <row r="27" spans="1:15" x14ac:dyDescent="0.35">
      <c r="A27" s="9" t="s">
        <v>97</v>
      </c>
      <c r="B27" s="10" t="s">
        <v>98</v>
      </c>
      <c r="C27" s="15">
        <v>200000</v>
      </c>
      <c r="D27" s="15">
        <v>200000</v>
      </c>
      <c r="E27" s="15">
        <v>200000</v>
      </c>
      <c r="F27" s="15">
        <v>200000</v>
      </c>
      <c r="G27" s="15">
        <v>200000</v>
      </c>
      <c r="H27" s="15">
        <v>200000</v>
      </c>
      <c r="I27" s="15">
        <v>200000</v>
      </c>
      <c r="J27" s="15">
        <v>200000</v>
      </c>
      <c r="K27" s="15">
        <v>200000</v>
      </c>
      <c r="L27" s="15">
        <v>200000</v>
      </c>
      <c r="M27" s="15">
        <v>200000</v>
      </c>
      <c r="N27" s="15">
        <v>200000</v>
      </c>
      <c r="O27" s="15">
        <f t="shared" si="2"/>
        <v>2400000</v>
      </c>
    </row>
    <row r="28" spans="1:15" x14ac:dyDescent="0.35">
      <c r="A28" s="9" t="s">
        <v>99</v>
      </c>
      <c r="B28" s="10" t="s">
        <v>286</v>
      </c>
      <c r="C28" s="15">
        <v>180000</v>
      </c>
      <c r="D28" s="15">
        <v>180000</v>
      </c>
      <c r="E28" s="15">
        <v>180000</v>
      </c>
      <c r="F28" s="15">
        <v>180000</v>
      </c>
      <c r="G28" s="15">
        <v>180000</v>
      </c>
      <c r="H28" s="15">
        <v>180000</v>
      </c>
      <c r="I28" s="15">
        <v>180000</v>
      </c>
      <c r="J28" s="15">
        <v>180000</v>
      </c>
      <c r="K28" s="15">
        <v>180000</v>
      </c>
      <c r="L28" s="15">
        <v>180000</v>
      </c>
      <c r="M28" s="15">
        <v>180000</v>
      </c>
      <c r="N28" s="15">
        <v>180000</v>
      </c>
      <c r="O28" s="15">
        <f t="shared" si="2"/>
        <v>2160000</v>
      </c>
    </row>
    <row r="29" spans="1:15" x14ac:dyDescent="0.35">
      <c r="A29" s="9" t="s">
        <v>101</v>
      </c>
      <c r="B29" s="10" t="s">
        <v>102</v>
      </c>
      <c r="C29" s="15">
        <v>75000</v>
      </c>
      <c r="D29" s="15">
        <v>75000</v>
      </c>
      <c r="E29" s="15">
        <v>75000</v>
      </c>
      <c r="F29" s="15">
        <v>75000</v>
      </c>
      <c r="G29" s="15">
        <v>75000</v>
      </c>
      <c r="H29" s="15">
        <v>75000</v>
      </c>
      <c r="I29" s="15">
        <v>75000</v>
      </c>
      <c r="J29" s="15">
        <v>75000</v>
      </c>
      <c r="K29" s="15">
        <v>75000</v>
      </c>
      <c r="L29" s="15">
        <v>75000</v>
      </c>
      <c r="M29" s="15">
        <v>75000</v>
      </c>
      <c r="N29" s="15">
        <v>75000</v>
      </c>
      <c r="O29" s="15">
        <f t="shared" si="2"/>
        <v>900000</v>
      </c>
    </row>
    <row r="30" spans="1:15" x14ac:dyDescent="0.35">
      <c r="A30" s="19"/>
      <c r="B30" s="19" t="s">
        <v>287</v>
      </c>
      <c r="C30" s="23">
        <f t="shared" ref="C30:O30" si="3">SUM(C16:C29)</f>
        <v>5274000</v>
      </c>
      <c r="D30" s="23">
        <f t="shared" si="3"/>
        <v>5265000</v>
      </c>
      <c r="E30" s="23">
        <f t="shared" si="3"/>
        <v>5277500</v>
      </c>
      <c r="F30" s="23">
        <f t="shared" si="3"/>
        <v>5277500</v>
      </c>
      <c r="G30" s="23">
        <f t="shared" si="3"/>
        <v>5282500</v>
      </c>
      <c r="H30" s="23">
        <f t="shared" si="3"/>
        <v>5148500</v>
      </c>
      <c r="I30" s="23">
        <f t="shared" si="3"/>
        <v>5174500</v>
      </c>
      <c r="J30" s="23">
        <f t="shared" si="3"/>
        <v>5390000</v>
      </c>
      <c r="K30" s="23">
        <f t="shared" si="3"/>
        <v>5332000</v>
      </c>
      <c r="L30" s="23">
        <f t="shared" si="3"/>
        <v>5291500</v>
      </c>
      <c r="M30" s="23">
        <f t="shared" si="3"/>
        <v>5261000</v>
      </c>
      <c r="N30" s="23">
        <f t="shared" si="3"/>
        <v>5200999</v>
      </c>
      <c r="O30" s="23">
        <f t="shared" si="3"/>
        <v>63174999</v>
      </c>
    </row>
    <row r="32" spans="1:15" x14ac:dyDescent="0.35">
      <c r="A32" s="19"/>
      <c r="B32" s="19" t="s">
        <v>288</v>
      </c>
      <c r="C32" s="23">
        <f t="shared" ref="C32:O32" si="4">C13-C30+C28</f>
        <v>1651000</v>
      </c>
      <c r="D32" s="23">
        <f t="shared" si="4"/>
        <v>1660000</v>
      </c>
      <c r="E32" s="23">
        <f t="shared" si="4"/>
        <v>1647500</v>
      </c>
      <c r="F32" s="23">
        <f t="shared" si="4"/>
        <v>1647500</v>
      </c>
      <c r="G32" s="23">
        <f t="shared" si="4"/>
        <v>1608500</v>
      </c>
      <c r="H32" s="23">
        <f t="shared" si="4"/>
        <v>-4826500</v>
      </c>
      <c r="I32" s="23">
        <f t="shared" si="4"/>
        <v>-4886500</v>
      </c>
      <c r="J32" s="23">
        <f t="shared" si="4"/>
        <v>1569000</v>
      </c>
      <c r="K32" s="23">
        <f t="shared" si="4"/>
        <v>1627000</v>
      </c>
      <c r="L32" s="23">
        <f t="shared" si="4"/>
        <v>1633500</v>
      </c>
      <c r="M32" s="23">
        <f t="shared" si="4"/>
        <v>1664000</v>
      </c>
      <c r="N32" s="23">
        <f t="shared" si="4"/>
        <v>1690001</v>
      </c>
      <c r="O32" s="23">
        <f t="shared" si="4"/>
        <v>6685001</v>
      </c>
    </row>
    <row r="33" spans="1:15" x14ac:dyDescent="0.35">
      <c r="A33" s="19"/>
      <c r="B33" s="19" t="s">
        <v>289</v>
      </c>
      <c r="C33" s="21">
        <f t="shared" ref="C33:O33" si="5">IFERROR(C32/C13,0)</f>
        <v>0.24477390659747961</v>
      </c>
      <c r="D33" s="21">
        <f t="shared" si="5"/>
        <v>0.24610822831727205</v>
      </c>
      <c r="E33" s="21">
        <f t="shared" si="5"/>
        <v>0.24425500370644923</v>
      </c>
      <c r="F33" s="21">
        <f t="shared" si="5"/>
        <v>0.24425500370644923</v>
      </c>
      <c r="G33" s="21">
        <f t="shared" si="5"/>
        <v>0.23968112054835344</v>
      </c>
      <c r="H33" s="21">
        <f t="shared" si="5"/>
        <v>-33.989436619718312</v>
      </c>
      <c r="I33" s="21">
        <f t="shared" si="5"/>
        <v>-45.245370370370374</v>
      </c>
      <c r="J33" s="21">
        <f t="shared" si="5"/>
        <v>0.2314500663814722</v>
      </c>
      <c r="K33" s="21">
        <f t="shared" si="5"/>
        <v>0.2400059005753061</v>
      </c>
      <c r="L33" s="21">
        <f t="shared" si="5"/>
        <v>0.24217939214232764</v>
      </c>
      <c r="M33" s="21">
        <f t="shared" si="5"/>
        <v>0.24670126019273536</v>
      </c>
      <c r="N33" s="21">
        <f t="shared" si="5"/>
        <v>0.25182551035613171</v>
      </c>
      <c r="O33" s="21">
        <f t="shared" si="5"/>
        <v>9.8744475627769571E-2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Catálogo de cuentas</vt:lpstr>
      <vt:lpstr>Balanza Febrero</vt:lpstr>
      <vt:lpstr>Balanza Marzo</vt:lpstr>
      <vt:lpstr>Operativo Marzo</vt:lpstr>
      <vt:lpstr>Banco Marzo</vt:lpstr>
      <vt:lpstr>Presupuesto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 Maria Rodriguez</cp:lastModifiedBy>
  <cp:revision>0</cp:revision>
  <dcterms:created xsi:type="dcterms:W3CDTF">2026-05-21T15:30:21Z</dcterms:created>
  <dcterms:modified xsi:type="dcterms:W3CDTF">2026-05-21T15:37:40Z</dcterms:modified>
  <dc:language>en-US</dc:language>
</cp:coreProperties>
</file>